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M.sherbaf\Desktop\ChatGPT Style Variables\"/>
    </mc:Choice>
  </mc:AlternateContent>
  <xr:revisionPtr revIDLastSave="0" documentId="13_ncr:1_{38472C94-7E94-40ED-869F-DA7460814E57}" xr6:coauthVersionLast="36" xr6:coauthVersionMax="36" xr10:uidLastSave="{00000000-0000-0000-0000-000000000000}"/>
  <bookViews>
    <workbookView xWindow="0" yWindow="0" windowWidth="51600" windowHeight="17625" xr2:uid="{00000000-000D-0000-FFFF-FFFF00000000}"/>
  </bookViews>
  <sheets>
    <sheet name="STYLE-Complete list" sheetId="1" r:id="rId1"/>
  </sheets>
  <calcPr calcId="191029"/>
</workbook>
</file>

<file path=xl/calcChain.xml><?xml version="1.0" encoding="utf-8"?>
<calcChain xmlns="http://schemas.openxmlformats.org/spreadsheetml/2006/main">
  <c r="T58" i="1" l="1"/>
  <c r="R58" i="1"/>
  <c r="P58" i="1"/>
  <c r="T57" i="1"/>
  <c r="R57" i="1"/>
  <c r="P57" i="1"/>
  <c r="T56" i="1"/>
  <c r="R56" i="1"/>
  <c r="P56" i="1"/>
  <c r="T55" i="1"/>
  <c r="R55" i="1"/>
  <c r="P55" i="1"/>
  <c r="T54" i="1"/>
  <c r="R54" i="1"/>
  <c r="P54" i="1"/>
  <c r="T53" i="1"/>
  <c r="R53" i="1"/>
  <c r="P53" i="1"/>
  <c r="T52" i="1"/>
  <c r="R52" i="1"/>
  <c r="P52" i="1"/>
  <c r="T51" i="1"/>
  <c r="R51" i="1"/>
  <c r="P51" i="1"/>
  <c r="T50" i="1"/>
  <c r="R50" i="1"/>
  <c r="P50" i="1"/>
  <c r="T49" i="1"/>
  <c r="R49" i="1"/>
  <c r="P49" i="1"/>
  <c r="T48" i="1"/>
  <c r="R48" i="1"/>
  <c r="P48" i="1"/>
  <c r="T47" i="1"/>
  <c r="R47" i="1"/>
  <c r="P47" i="1"/>
  <c r="T46" i="1"/>
  <c r="R46" i="1"/>
  <c r="P46" i="1"/>
  <c r="T45" i="1"/>
  <c r="R45" i="1"/>
  <c r="P45" i="1"/>
  <c r="T44" i="1"/>
  <c r="R44" i="1"/>
  <c r="P44" i="1"/>
  <c r="T43" i="1"/>
  <c r="R43" i="1"/>
  <c r="P43" i="1"/>
  <c r="T42" i="1"/>
  <c r="R42" i="1"/>
  <c r="P42" i="1"/>
  <c r="T41" i="1"/>
  <c r="R41" i="1"/>
  <c r="P41" i="1"/>
  <c r="T40" i="1"/>
  <c r="R40" i="1"/>
  <c r="P40" i="1"/>
  <c r="T39" i="1"/>
  <c r="R39" i="1"/>
  <c r="P39" i="1"/>
  <c r="T38" i="1"/>
  <c r="R38" i="1"/>
  <c r="P38" i="1"/>
  <c r="T37" i="1"/>
  <c r="R37" i="1"/>
  <c r="P37" i="1"/>
  <c r="T36" i="1"/>
  <c r="R36" i="1"/>
  <c r="P36" i="1"/>
  <c r="T35" i="1"/>
  <c r="R35" i="1"/>
  <c r="P35" i="1"/>
  <c r="T34" i="1"/>
  <c r="R34" i="1"/>
  <c r="P34" i="1"/>
  <c r="T33" i="1"/>
  <c r="R33" i="1"/>
  <c r="P33" i="1"/>
  <c r="T32" i="1"/>
  <c r="R32" i="1"/>
  <c r="P32" i="1"/>
  <c r="T31" i="1"/>
  <c r="R31" i="1"/>
  <c r="P31" i="1"/>
  <c r="T30" i="1"/>
  <c r="R30" i="1"/>
  <c r="P30" i="1"/>
  <c r="T29" i="1"/>
  <c r="R29" i="1"/>
  <c r="P29" i="1"/>
  <c r="T28" i="1"/>
  <c r="R28" i="1"/>
  <c r="P28" i="1"/>
  <c r="T27" i="1"/>
  <c r="R27" i="1"/>
  <c r="P27" i="1"/>
  <c r="T26" i="1"/>
  <c r="R26" i="1"/>
  <c r="P26" i="1"/>
  <c r="T25" i="1"/>
  <c r="R25" i="1"/>
  <c r="P25" i="1"/>
  <c r="T24" i="1"/>
  <c r="R24" i="1"/>
  <c r="P24" i="1"/>
  <c r="T23" i="1"/>
  <c r="R23" i="1"/>
  <c r="P23" i="1"/>
  <c r="T22" i="1"/>
  <c r="R22" i="1"/>
  <c r="P22" i="1"/>
  <c r="T21" i="1"/>
  <c r="R21" i="1"/>
  <c r="P21" i="1"/>
  <c r="T20" i="1"/>
  <c r="R20" i="1"/>
  <c r="P20" i="1"/>
  <c r="T19" i="1"/>
  <c r="R19" i="1"/>
  <c r="P19" i="1"/>
  <c r="T18" i="1"/>
  <c r="R18" i="1"/>
  <c r="P18" i="1"/>
  <c r="T17" i="1"/>
  <c r="R17" i="1"/>
  <c r="P17" i="1"/>
  <c r="T16" i="1"/>
  <c r="R16" i="1"/>
  <c r="P16" i="1"/>
  <c r="T15" i="1"/>
  <c r="R15" i="1"/>
  <c r="P15" i="1"/>
  <c r="T14" i="1"/>
  <c r="R14" i="1"/>
  <c r="P14" i="1"/>
  <c r="T13" i="1"/>
  <c r="R13" i="1"/>
  <c r="P13" i="1"/>
  <c r="T12" i="1"/>
  <c r="R12" i="1"/>
  <c r="P12" i="1"/>
  <c r="T11" i="1"/>
  <c r="R11" i="1"/>
  <c r="P11" i="1"/>
  <c r="T10" i="1"/>
  <c r="R10" i="1"/>
  <c r="P10" i="1"/>
  <c r="T9" i="1"/>
  <c r="R9" i="1"/>
  <c r="P9" i="1"/>
  <c r="T8" i="1"/>
  <c r="R8" i="1"/>
  <c r="P8" i="1"/>
  <c r="T7" i="1"/>
  <c r="R7" i="1"/>
  <c r="P7" i="1"/>
  <c r="T6" i="1"/>
  <c r="R6" i="1"/>
  <c r="P6" i="1"/>
  <c r="T5" i="1"/>
  <c r="R5" i="1"/>
  <c r="P5" i="1" a="1"/>
  <c r="P5" i="1" s="1"/>
  <c r="T4" i="1"/>
  <c r="R4" i="1"/>
  <c r="P4" i="1"/>
  <c r="T3" i="1"/>
  <c r="R3" i="1"/>
  <c r="P3" i="1"/>
</calcChain>
</file>

<file path=xl/sharedStrings.xml><?xml version="1.0" encoding="utf-8"?>
<sst xmlns="http://schemas.openxmlformats.org/spreadsheetml/2006/main" count="688" uniqueCount="638">
  <si>
    <t>Priority</t>
  </si>
  <si>
    <t>Variable</t>
  </si>
  <si>
    <t>Category</t>
  </si>
  <si>
    <t>Rating Description</t>
  </si>
  <si>
    <t>Paste as Prompt Stack with Descriptions</t>
  </si>
  <si>
    <t>Paste as Prompt Stack with Numbers Only</t>
  </si>
  <si>
    <t>Paste as Prompt Stack to Solve</t>
  </si>
  <si>
    <t>Rating</t>
  </si>
  <si>
    <t>STYLE:</t>
  </si>
  <si>
    <t>V2</t>
  </si>
  <si>
    <t>V3</t>
  </si>
  <si>
    <t>V4</t>
  </si>
  <si>
    <t>V5</t>
  </si>
  <si>
    <t>V6</t>
  </si>
  <si>
    <t>Educational Reading Level</t>
  </si>
  <si>
    <t>Clarity and Directness</t>
  </si>
  <si>
    <t>1st: Simple vocabulary and sentences for first graders.</t>
  </si>
  <si>
    <t>2nd-3rd: Slightly more complex sentences for second and third graders.</t>
  </si>
  <si>
    <t>4th-5th: Moderately complex sentences and broader vocabulary for fourth and fifth graders.</t>
  </si>
  <si>
    <t>6th-7th: Complex sentences and diverse vocabulary for sixth and seventh graders.</t>
  </si>
  <si>
    <t>8th-9th: Technical terms and balanced content suitable for eighth and ninth graders.</t>
  </si>
  <si>
    <t>10th-12th: College preparatory material requiring critical thinking for high school upperclassmen.</t>
  </si>
  <si>
    <t>College: College-level content with specialized vocabulary and advanced analysis.</t>
  </si>
  <si>
    <t>Graduate: Graduate-level discussions for advanced students and professionals in specialized fields.</t>
  </si>
  <si>
    <t>PhD/Research: Dense, scholarly topics with heavy jargon for PhD students and seasoned researchers.</t>
  </si>
  <si>
    <t>Scholar/Expert: Extremely complex academic content for top-tier scholars and experts.</t>
  </si>
  <si>
    <t>Intensity</t>
  </si>
  <si>
    <t>Emotional Impact and Engagement</t>
  </si>
  <si>
    <t>Extremely subdued, with a gentle or muted presence.</t>
  </si>
  <si>
    <t>Mild intensity, with only slight variations in emotional or thematic strength.</t>
  </si>
  <si>
    <t>Moderately low intensity, with a calm and steady approach.</t>
  </si>
  <si>
    <t>Balanced intensity, neither overpowering nor too subdued.</t>
  </si>
  <si>
    <t>Moderate intensity, with noticeable passion or strength without overwhelming.</t>
  </si>
  <si>
    <t>Fairly intense, with a consistent and strong presence.</t>
  </si>
  <si>
    <t>Strong intensity, with powerful expressions and a dynamic approach.</t>
  </si>
  <si>
    <t>Very intense, with a forceful and commanding presence.</t>
  </si>
  <si>
    <t>Highly intense, with vigorous energy and compelling force.</t>
  </si>
  <si>
    <t>Extremely intense, with an overpowering and all-consuming energy.</t>
  </si>
  <si>
    <t>Tone</t>
  </si>
  <si>
    <t>Indifferent, lacking a clear emotional or stylistic tone.</t>
  </si>
  <si>
    <t>Mildly detached, with a faint hint of the intended tone.</t>
  </si>
  <si>
    <t>Subtly present, the tone is gently woven into the text.</t>
  </si>
  <si>
    <t>Moderately expressed, the tone is clear but not dominant.</t>
  </si>
  <si>
    <t>Even-keeled, the tone strikes a balance between subtle and pronounced.</t>
  </si>
  <si>
    <t>Slightly leaning, the tone is noticeable and sets a mild mood.</t>
  </si>
  <si>
    <t>Considerably distinct, the tone actively shapes the reader's experience.</t>
  </si>
  <si>
    <t>Strongly characterized, the tone is a driving force in the text.</t>
  </si>
  <si>
    <t>Dominantly expressed, the tone is powerful and unmistakable.</t>
  </si>
  <si>
    <t>Overwhelmingly pervasive, the tone saturates every aspect of the writing.</t>
  </si>
  <si>
    <t>Balance in Sentence Length</t>
  </si>
  <si>
    <t>Structural Complexity and Readability</t>
  </si>
  <si>
    <t>Sentence length is very uniform, offering little variety.</t>
  </si>
  <si>
    <t>There is slight variation in sentence length, adding minimal rhythm.</t>
  </si>
  <si>
    <t>Sentences show some variation in length, creating a basic flow.</t>
  </si>
  <si>
    <t>There is a moderate balance of short and long sentences, improving readability.</t>
  </si>
  <si>
    <t>Sentence lengths are varied, creating a balanced and engaging rhythm.</t>
  </si>
  <si>
    <t>Sentences display a good mix of lengths, providing a dynamic reading experience.</t>
  </si>
  <si>
    <t>There is a strong balance in sentence lengths, enhancing the text's flow and interest.</t>
  </si>
  <si>
    <t>Sentences are skillfully varied in length, contributing to a sophisticated narrative flow.</t>
  </si>
  <si>
    <t>There is a high degree of variation in sentence length, ensuring a compelling and rhythmic read.</t>
  </si>
  <si>
    <t>Sentence length variation is expertly crafted, offering an exceptional and rhythmic narrative experience.</t>
  </si>
  <si>
    <t>Burstiness</t>
  </si>
  <si>
    <t>Monotonous, with a flat, unvarying pace.</t>
  </si>
  <si>
    <t>Slightly varied, with rare changes in rhythm or pace.</t>
  </si>
  <si>
    <t>Occasionally varied, with some bursts of energy or pauses.</t>
  </si>
  <si>
    <t>Moderately varied, with noticeable shifts in pace.</t>
  </si>
  <si>
    <t>Balanced variation, with a mix of energy and steadiness.</t>
  </si>
  <si>
    <t>Notably bursty, with frequent changes in rhythm.</t>
  </si>
  <si>
    <t>Quite bursty, with a dynamic flow and energetic peaks.</t>
  </si>
  <si>
    <t>Highly bursty, keeps the reader on their toes with constant changes.</t>
  </si>
  <si>
    <t>Intensely bursty, with a rapid-fire delivery of ideas and shifts.</t>
  </si>
  <si>
    <t>Explosively bursty, with a relentless pace and high energy throughout.</t>
  </si>
  <si>
    <t>Perplexity</t>
  </si>
  <si>
    <t>Extremely simple, with no challenging elements.</t>
  </si>
  <si>
    <t>Very straightforward, with only the simplest of concepts.</t>
  </si>
  <si>
    <t>Fairly clear, with minimal complexity to navigate.</t>
  </si>
  <si>
    <t>Somewhat complex, requiring a bit more thought.</t>
  </si>
  <si>
    <t>Moderately complex, with a balance of clarity and challenge.</t>
  </si>
  <si>
    <t>Noticeably intricate, with more complex ideas and structures.</t>
  </si>
  <si>
    <t>Quite involved, with layers of complexity to unpack.</t>
  </si>
  <si>
    <t>Highly complex, with challenging concepts and structures.</t>
  </si>
  <si>
    <t>Deeply perplexing, with a dense web of intricate ideas.</t>
  </si>
  <si>
    <t>Extremely perplexing, with the highest level of complexity and abstraction.</t>
  </si>
  <si>
    <t>Sentence Structure Variety</t>
  </si>
  <si>
    <t>Monotonous, with little to no variation in sentence structure.</t>
  </si>
  <si>
    <t>Some variety, with a few different sentence structures used sparingly.</t>
  </si>
  <si>
    <t>Noticeable variety, with a moderate mix of short and long sentences.</t>
  </si>
  <si>
    <t>Good variety, with a balanced use of diverse sentence structures.</t>
  </si>
  <si>
    <t>Excellent variety, with a wide range of sentence structures keeping the text dynamic.</t>
  </si>
  <si>
    <t>Great variety, with complex and varied sentence structures that enhance readability.</t>
  </si>
  <si>
    <t>Strong variety, with rich and intricate sentence structures that add depth to the text.</t>
  </si>
  <si>
    <t>Very strong variety, with a sophisticated array of sentence styles that captivate the reader.</t>
  </si>
  <si>
    <t>Highly varied, with a complex tapestry of sentence structures that challenge and engage.</t>
  </si>
  <si>
    <t>Extremely varied, with the most elaborate and diverse sentence structures used for maximum impact.</t>
  </si>
  <si>
    <t>Syntax Variety</t>
  </si>
  <si>
    <t>Writing Mechanics and Structure</t>
  </si>
  <si>
    <t>Monotonous, no variety</t>
  </si>
  <si>
    <t>Very limited variety</t>
  </si>
  <si>
    <t>Limited variety</t>
  </si>
  <si>
    <t>Some variety, but lacks engagement</t>
  </si>
  <si>
    <t>Average variety, somewhat engaging</t>
  </si>
  <si>
    <t>Above average variety, engaging</t>
  </si>
  <si>
    <t>Good variety, quite engaging</t>
  </si>
  <si>
    <t>Very good variety, very engaging</t>
  </si>
  <si>
    <t>Excellent variety, captivating</t>
  </si>
  <si>
    <t>Outstanding variety, exceptionally engaging</t>
  </si>
  <si>
    <t>Directness Level</t>
  </si>
  <si>
    <t>Extremely indirect, often meandering around points.</t>
  </si>
  <si>
    <t>Indirect, with a tendency to hint rather than state outright.</t>
  </si>
  <si>
    <t>Somewhat indirect, with occasional direct statements.</t>
  </si>
  <si>
    <t>Moderately direct, with a blend of straightforwardness and subtlety.</t>
  </si>
  <si>
    <t>Balanced, with a mix of directness and indirectness as needed.</t>
  </si>
  <si>
    <t>Fairly direct, with most statements made plainly.</t>
  </si>
  <si>
    <t>Quite direct, with a focus on clear, unambiguous communication.</t>
  </si>
  <si>
    <t>Very direct, with strong, assertive statements throughout.</t>
  </si>
  <si>
    <t>Highly direct, cutting straight to the heart of the matter.</t>
  </si>
  <si>
    <t>Bluntly direct, with no mincing of words and absolute clarity.</t>
  </si>
  <si>
    <t>Pacing</t>
  </si>
  <si>
    <t>Static pacing, with a uniform speed that may lack dynamism.</t>
  </si>
  <si>
    <t>Slow pacing, with gradual progression and few variations in tempo.</t>
  </si>
  <si>
    <t>Measured pacing, with a steady rhythm that occasionally varies.</t>
  </si>
  <si>
    <t>Moderate pacing, with an even tempo that keeps the reader's interest.</t>
  </si>
  <si>
    <t>Balanced pacing, with a rhythm that flows smoothly and engages the reader.</t>
  </si>
  <si>
    <t>Lively pacing, with a tempo that keeps the reader actively engaged.</t>
  </si>
  <si>
    <t>Brisk pacing, with a rhythm that moves the reader along quickly.</t>
  </si>
  <si>
    <t>Rapid pacing, with a fast tempo that creates a sense of urgency.</t>
  </si>
  <si>
    <t>Intense pacing, with a speed that propels the reader forward with high energy.</t>
  </si>
  <si>
    <t>Breakneck pacing, with a relentless tempo that grips the reader's full attention.</t>
  </si>
  <si>
    <t>Contextual Explanation</t>
  </si>
  <si>
    <t>Content and Substance</t>
  </si>
  <si>
    <t>No contextual explanation, with content presented without background or clarification.</t>
  </si>
  <si>
    <t>Minimal contextual explanation, with rare and basic background details.</t>
  </si>
  <si>
    <t>Some contextual explanation, with occasional clarifying details or background information.</t>
  </si>
  <si>
    <t>Moderate contextual explanation, with a balance of content and necessary background information.</t>
  </si>
  <si>
    <t>Balanced contextual explanation, providing sufficient background to inform without overwhelming.</t>
  </si>
  <si>
    <t>Fair contextual explanation, with clear and helpful background information that enhances understanding.</t>
  </si>
  <si>
    <t>Strong contextual explanation, with thorough background details that enrich the content's meaning.</t>
  </si>
  <si>
    <t>Very strong contextual explanation, with comprehensive and insightful contextual information.</t>
  </si>
  <si>
    <t>Highly detailed contextual explanation, with deep and informative background that fully illuminates the subject.</t>
  </si>
  <si>
    <t>Maximally detailed contextual explanation, with extensive background information that provides complete clarity.</t>
  </si>
  <si>
    <t>Humor Level</t>
  </si>
  <si>
    <t>The writing is almost entirely serious with only an occasional, subtle touch of humor.</t>
  </si>
  <si>
    <t>The writing includes a slight hint of humor that gently punctuates the serious tone.</t>
  </si>
  <si>
    <t>Humor is present but understated, providing a light seasoning to the content without shifting the serious focus.</t>
  </si>
  <si>
    <t>Humor is sprinkled lightly throughout, offering moments of levity in an otherwise serious context.</t>
  </si>
  <si>
    <t>The writing balances humor and seriousness, neither overwhelming the other.</t>
  </si>
  <si>
    <t>A noticeable sense of humor is woven into the writing, providing a friendly and engaging tone.</t>
  </si>
  <si>
    <t>Humor plays a significant role, often lightening the mood and keeping the reader entertained.</t>
  </si>
  <si>
    <t>The writing is quite humorous, frequently employing comedic elements to engage the reader.</t>
  </si>
  <si>
    <t>The text is heavily laden with humor, ensuring that laughter is a key component of the reader's experience.</t>
  </si>
  <si>
    <t>The writing is intensely humorous, prioritizing comedy often at the expense of a serious tone.</t>
  </si>
  <si>
    <t>Industry Jargon Use</t>
  </si>
  <si>
    <t>Rhetoric and Language Use</t>
  </si>
  <si>
    <t>No industry jargon, with language that is universally understandable.</t>
  </si>
  <si>
    <t>Minimal industry jargon, with very few terms that are specific to a particular field.</t>
  </si>
  <si>
    <t>Some industry jargon, with occasional use of specialized terminology.</t>
  </si>
  <si>
    <t>Moderate industry jargon, balancing specialized terms with accessible language.</t>
  </si>
  <si>
    <t>Balanced industry jargon use, with enough terminology to convey expertise without alienating the reader.</t>
  </si>
  <si>
    <t>Fair use of industry jargon, with terms that convey specificity but remain relatively clear to outsiders.</t>
  </si>
  <si>
    <t>Considerable industry jargon, with frequent use of technical terms that assume some audience knowledge.</t>
  </si>
  <si>
    <t>Heavy industry jargon use, with content rich in specialized terms that target industry insiders.</t>
  </si>
  <si>
    <t>Very dense industry jargon, with language that may be challenging for those outside the field.</t>
  </si>
  <si>
    <t>Maximally dense industry jargon, with highly specialized terminology intended for experts in the field.</t>
  </si>
  <si>
    <t>Imagery Use</t>
  </si>
  <si>
    <t>Storytelling and Narrative Techniques</t>
  </si>
  <si>
    <t>No imagery, with purely literal descriptions.</t>
  </si>
  <si>
    <t>Minimal imagery, with occasional use of simple visual descriptions.</t>
  </si>
  <si>
    <t>Some imagery, with infrequent but notable descriptive elements.</t>
  </si>
  <si>
    <t>Moderate imagery, with a balance of literal and figurative language.</t>
  </si>
  <si>
    <t>Balanced imagery, employing visual descriptions to enhance the text.</t>
  </si>
  <si>
    <t>Fair imagery use, with consistent and evocative descriptive language.</t>
  </si>
  <si>
    <t>Strong imagery use, with vivid and detailed visual descriptions throughout.</t>
  </si>
  <si>
    <t>Very strong imagery use, with rich and compelling pictures painted through words.</t>
  </si>
  <si>
    <t>Highly imaginative, with a narrative deeply enriched by powerful and striking imagery.</t>
  </si>
  <si>
    <t>Maximally imaginative, with a tapestry of images that vividly bring the content to life.</t>
  </si>
  <si>
    <t>Question Posing</t>
  </si>
  <si>
    <t>No questions posed, with statements made exclusively.</t>
  </si>
  <si>
    <t>Minimal questioning, with rare prompts for the reader to consider.</t>
  </si>
  <si>
    <t>Some questioning, with occasional rhetorical or direct questions.</t>
  </si>
  <si>
    <t>Moderate question posing, with a balance of statements and thoughtful inquiries.</t>
  </si>
  <si>
    <t>Balanced questioning, engaging the reader with regular prompts for reflection or action.</t>
  </si>
  <si>
    <t>Fair question posing, with frequent questions that provoke thought and invite reader response.</t>
  </si>
  <si>
    <t>Strong question posing, with a narrative that challenges the reader through persistent questioning.</t>
  </si>
  <si>
    <t>Very strong question posing, with content that is driven by interrogatives to engage the reader.</t>
  </si>
  <si>
    <t>Highly questioning, with a conversational style dominated by inquiry and exploration of ideas.</t>
  </si>
  <si>
    <t>Maximally questioning, with a relentless use of questions to drive the narrative and reader engagement.</t>
  </si>
  <si>
    <t>Language Complexity</t>
  </si>
  <si>
    <t>Extremely simple language, with minimal vocabulary and basic sentence structures.</t>
  </si>
  <si>
    <t>Very simple language, with straightforward vocabulary and sentences.</t>
  </si>
  <si>
    <t>Somewhat simple language, with a mix of basic and intermediate words and structures.</t>
  </si>
  <si>
    <t>Moderately complex language, with a balance of simple and challenging elements.</t>
  </si>
  <si>
    <t>Balanced language complexity, accessible to a broad audience while engaging more advanced readers.</t>
  </si>
  <si>
    <t>Fairly complex language, with a tilt towards sophisticated vocabulary and sentence forms.</t>
  </si>
  <si>
    <t>Complex language, with rich vocabulary and varied sentence structures.</t>
  </si>
  <si>
    <t>Very complex language, with a focus on advanced vocabulary and intricate constructions.</t>
  </si>
  <si>
    <t>Highly complex language, with dense and sophisticated linguistic choices.</t>
  </si>
  <si>
    <t>Maximally complex language, with the most challenging vocabulary and sentence structures used throughout.</t>
  </si>
  <si>
    <t>Dimensional Language Use</t>
  </si>
  <si>
    <t>Flat language, with no depth or richness in description.</t>
  </si>
  <si>
    <t>Minimal dimensional language, with only slight layers or depth in wording.</t>
  </si>
  <si>
    <t>Some dimensional language, with occasional use of detail to add depth.</t>
  </si>
  <si>
    <t>Moderate dimensional language, providing a balanced sense of depth and texture.</t>
  </si>
  <si>
    <t>Balanced dimensional language, with content that has a palpable sense of space and detail.</t>
  </si>
  <si>
    <t>Fair use of dimensional language, with descriptions that often create a vivid sense of place or idea.</t>
  </si>
  <si>
    <t>Strong dimensional language use, with rich and layered descriptions that bring content to life.</t>
  </si>
  <si>
    <t>Very strong dimensional language, with a narrative that deeply immerses the reader in the scene or concept.</t>
  </si>
  <si>
    <t>Highly dimensional language use, with complex and compelling descriptions that create a fully realized world.</t>
  </si>
  <si>
    <t>Maximally dimensional language, with exceptionally rich and intricate language that adds profound depth to the content.</t>
  </si>
  <si>
    <t>Visceral Language Use</t>
  </si>
  <si>
    <t>No visceral language, with a purely objective and detached tone.</t>
  </si>
  <si>
    <t>Minimal visceral language, with rare use of words that evoke a sensory response.</t>
  </si>
  <si>
    <t>Some visceral language, with occasional use of evocative and sensory words.</t>
  </si>
  <si>
    <t>Moderate visceral language use, engaging the reader's senses to a balanced extent.</t>
  </si>
  <si>
    <t>Balanced visceral language, with descriptive words that appeal to the reader's emotions and senses without overwhelming.</t>
  </si>
  <si>
    <t>Fair visceral language use, with content that frequently stimulates the reader's emotions and senses.</t>
  </si>
  <si>
    <t>Strong visceral language use, with vivid and sensory-rich language that evokes strong emotional responses.</t>
  </si>
  <si>
    <t>Very strong visceral language, with content that consistently engages and affects the reader on a sensory level.</t>
  </si>
  <si>
    <t>Highly visceral language use, with a narrative that is deeply emotive and sensory-driven.</t>
  </si>
  <si>
    <t>Maximally visceral language, with language that powerfully impacts the reader's senses and emotions.</t>
  </si>
  <si>
    <t>Hyperbole Use</t>
  </si>
  <si>
    <t>No hyperbole, with a straightforward and literal approach.</t>
  </si>
  <si>
    <t>Minimal hyperbole, with rare and lightly used exaggerated phrases.</t>
  </si>
  <si>
    <t>Some hyperbole, with occasional use of overstatement for color.</t>
  </si>
  <si>
    <t>Moderate hyperbole, with a balance of literal and exaggerated language.</t>
  </si>
  <si>
    <t>Balanced hyperbole, employing overstatements carefully for emphasis without going overboard.</t>
  </si>
  <si>
    <t>Fair hyperbole use, with noticeable but reasonable exaggerations for effect.</t>
  </si>
  <si>
    <t>Strong hyperbole use, with frequent and bold overstatements that draw attention.</t>
  </si>
  <si>
    <t>Very strong hyperbole use, with a narrative rich in embellished and dramatic language.</t>
  </si>
  <si>
    <t>Highly hyperbolic, with content that heavily relies on exaggeration for impact.</t>
  </si>
  <si>
    <t>Maximally hyperbolic, with pervasive and extreme overstatements defining the style.</t>
  </si>
  <si>
    <t>Rhetorical Device Use</t>
  </si>
  <si>
    <t>No rhetorical devices, with straightforward and plain language.</t>
  </si>
  <si>
    <t>Minimal rhetorical device use, with rare and simple figures of speech.</t>
  </si>
  <si>
    <t>Some rhetorical device use, with occasional stylistic flourishes.</t>
  </si>
  <si>
    <t>Moderate rhetorical device use, with a balance of plain language and literary techniques.</t>
  </si>
  <si>
    <t>Balanced rhetorical device use, engaging the reader with both clarity and stylistic elements.</t>
  </si>
  <si>
    <t>Fair rhetorical device use, with consistent use of literary techniques to enhance the message.</t>
  </si>
  <si>
    <t>Strong rhetorical device use, with persuasive and memorable language throughout.</t>
  </si>
  <si>
    <t>Very strong rhetorical device use, with a rich array of literary techniques employed.</t>
  </si>
  <si>
    <t>Highly rhetorical, with a dominant use of figurative language and persuasive strategies.</t>
  </si>
  <si>
    <t>Maximally rhetorical, with content that is as much an artful expression as it is communication.</t>
  </si>
  <si>
    <t>Transition Smoothness</t>
  </si>
  <si>
    <t>Transitions between ideas are abrupt and lack smoothness.</t>
  </si>
  <si>
    <t>Transitions are slightly smoother but still noticeable.</t>
  </si>
  <si>
    <t>Transitions are adequately smooth, with a basic flow between ideas.</t>
  </si>
  <si>
    <t>There is a moderate smoothness in transitions, providing better coherence.</t>
  </si>
  <si>
    <t>Transitions between ideas are smooth, ensuring a natural flow.</t>
  </si>
  <si>
    <t>Transitions are very smooth, enhancing the logical flow of ideas.</t>
  </si>
  <si>
    <t>The text demonstrates highly smooth transitions, seamlessly connecting ideas.</t>
  </si>
  <si>
    <t>Transitions are extremely smooth, almost unnoticeable, providing excellent narrative flow.</t>
  </si>
  <si>
    <t>The transitions are expertly crafted, ensuring an impeccable and seamless flow of ideas.</t>
  </si>
  <si>
    <t>The text achieves perfect transition smoothness, with ideas flowing indistinguishably into one another.</t>
  </si>
  <si>
    <t>Argument Development Depth</t>
  </si>
  <si>
    <t>Arguments are presented superficially with minimal depth.</t>
  </si>
  <si>
    <t>Arguments show a slight increase in complexity but remain on a basic level.</t>
  </si>
  <si>
    <t>Arguments are more developed, with some explanation of underlying reasons.</t>
  </si>
  <si>
    <t>The depth of argument is adequate, with a fair level of detail and reasoning.</t>
  </si>
  <si>
    <t>Arguments are moderately developed, showing a balance of breadth and depth.</t>
  </si>
  <si>
    <t>Arguments are well-developed, with thorough reasoning and evidence.</t>
  </si>
  <si>
    <t>The arguments are deeply developed, with substantial evidence and nuanced analysis.</t>
  </si>
  <si>
    <t>Arguments are very deeply developed, with complex reasoning and detailed analysis.</t>
  </si>
  <si>
    <t>The argumentation is highly sophisticated, with rich detail and complex layers of analysis.</t>
  </si>
  <si>
    <t>The depth of argument is exhaustive, with profound insights and comprehensive analysis.</t>
  </si>
  <si>
    <t>Direct Address Intensity</t>
  </si>
  <si>
    <t>The use of direct address is minimal, barely involving the reader.</t>
  </si>
  <si>
    <t>Direct address is used sparingly, slightly engaging the reader.</t>
  </si>
  <si>
    <t>There's a moderate use of direct address, making the reader feel somewhat involved.</t>
  </si>
  <si>
    <t>Direct address is employed regularly, creating a sense of conversation with the reader.</t>
  </si>
  <si>
    <t>The text uses direct address to effectively engage the reader at a balanced level.</t>
  </si>
  <si>
    <t>Direct address is strategically used to maintain a strong connection with the reader.</t>
  </si>
  <si>
    <t>The intensity of direct address is high, actively involving the reader in the discourse.</t>
  </si>
  <si>
    <t>Direct address is used with high intensity, creating a compelling dialogue with the reader.</t>
  </si>
  <si>
    <t>The text frequently uses direct address, making the reader feel highly engaged.</t>
  </si>
  <si>
    <t>Direct address is maximized, ensuring the reader is fully immersed and directly spoken to.</t>
  </si>
  <si>
    <t>Problem Identification Clarity</t>
  </si>
  <si>
    <t>The problem is vaguely mentioned with minimal clarity.</t>
  </si>
  <si>
    <t>The problem is identified but with limited detail and clarity.</t>
  </si>
  <si>
    <t>The problem is articulated in simple terms with some clarity.</t>
  </si>
  <si>
    <t>The problem is clearer and more defined, with some context provided.</t>
  </si>
  <si>
    <t>The problem is identified with a balanced clarity and detail for general understanding.</t>
  </si>
  <si>
    <t>The problem is clearly defined with pertinent details, accessible to an informed reader.</t>
  </si>
  <si>
    <t>The problem is very clear, with comprehensive details that highlight its importance.</t>
  </si>
  <si>
    <t>The problem is articulated with high clarity and in-depth exploration for readers.</t>
  </si>
  <si>
    <t>The problem is presented with exceptional clarity and detailed analysis.</t>
  </si>
  <si>
    <t>The problem is identified with utmost clarity, featuring an exhaustive and precise breakdown.</t>
  </si>
  <si>
    <t>Solution Presentation Alignment</t>
  </si>
  <si>
    <t>The solution is mentioned but lacks clear alignment with the problem.</t>
  </si>
  <si>
    <t>The solution is somewhat aligned with the problem, though connection is weak.</t>
  </si>
  <si>
    <t>The solution is adequately aligned with the problem, with some connection evident.</t>
  </si>
  <si>
    <t>There is good alignment between the problem and solution, with clear relevance.</t>
  </si>
  <si>
    <t>The solution is clearly presented and aligns well with the defined problem.</t>
  </si>
  <si>
    <t>The solution is robustly aligned with the problem, demonstrating a strong linkage.</t>
  </si>
  <si>
    <t>The solution is presented with high alignment, showcasing a direct solution to the problem.</t>
  </si>
  <si>
    <t>The solution is presented with very high alignment, intricately connected to the problem.</t>
  </si>
  <si>
    <t>The solution is expertly aligned, with a seamless connection to the problem.</t>
  </si>
  <si>
    <t>The solution is presented with perfect alignment, offering a comprehensive resolution to the problem.</t>
  </si>
  <si>
    <t>Call to Action (CTA) Strength</t>
  </si>
  <si>
    <t>No call to action, with no guidance on what the reader should do next.</t>
  </si>
  <si>
    <t>Weak CTA, with a vague or non-urgent suggestion.</t>
  </si>
  <si>
    <t>Mild CTA, with a polite but clear invitation to take the next step.</t>
  </si>
  <si>
    <t>Moderate CTA, with a straightforward request for reader action.</t>
  </si>
  <si>
    <t>Balanced CTA, with clear instructions and a compelling reason to act.</t>
  </si>
  <si>
    <t>Strong CTA, with a persuasive and motivating appeal to the reader.</t>
  </si>
  <si>
    <t>Very strong CTA, with a sense of urgency and clear benefits of taking action.</t>
  </si>
  <si>
    <t>Highly compelling CTA, with an irresistible offer or imperative.</t>
  </si>
  <si>
    <t>Powerful CTA, with a commanding and irresistible directive.</t>
  </si>
  <si>
    <t>Irrefutable CTA, with an unmissable and compelling proposition that demands action.</t>
  </si>
  <si>
    <t>Data-Driven Level</t>
  </si>
  <si>
    <t>Anecdotal, with virtually no data or statistics present.</t>
  </si>
  <si>
    <t>Minimal data, with occasional references to facts or figures.</t>
  </si>
  <si>
    <t>Some data integration, with occasional use of statistics for support.</t>
  </si>
  <si>
    <t>Moderate use of data, presenting a balanced approach with narrative.</t>
  </si>
  <si>
    <t>Balanced data presentation, with equal emphasis on story and statistics.</t>
  </si>
  <si>
    <t>Data-enriched, with a clear presence of supporting data.</t>
  </si>
  <si>
    <t>Data-focused, with frequent incorporation of research and figures.</t>
  </si>
  <si>
    <t>Data-heavy, with a strong emphasis on statistical evidence.</t>
  </si>
  <si>
    <t>Data-driven, with a narrative built around robust data sets.</t>
  </si>
  <si>
    <t>Data-saturated, with comprehensive use of statistics in every argument.</t>
  </si>
  <si>
    <t>Educational Content Level</t>
  </si>
  <si>
    <t>Content is very basic, providing minimal educational value.</t>
  </si>
  <si>
    <t>Educational content is slightly more informative, but still at a basic level.</t>
  </si>
  <si>
    <t>The educational material is clear and provides foundational knowledge.</t>
  </si>
  <si>
    <t>Content has a moderate educational value, offering a fair amount of information.</t>
  </si>
  <si>
    <t>The educational content is balanced, informative for the average learner.</t>
  </si>
  <si>
    <t>The content is quite educational, offering substantial insights and knowledge.</t>
  </si>
  <si>
    <t>Educational content is rich and detailed, providing in-depth learning.</t>
  </si>
  <si>
    <t>The material is very educational, with advanced insights and comprehensive knowledge.</t>
  </si>
  <si>
    <t>Content is highly educational, offering expert-level understanding and depth.</t>
  </si>
  <si>
    <t>The educational content is of the highest caliber, providing authoritative knowledge and mastery.</t>
  </si>
  <si>
    <t>Evidence &amp; Example Use</t>
  </si>
  <si>
    <t>Evidence and examples are either nonexistent or very weakly integrated.</t>
  </si>
  <si>
    <t>Occasional evidence or examples are provided but lack strong relevance.</t>
  </si>
  <si>
    <t>Evidence and examples are used with some regularity and relevance.</t>
  </si>
  <si>
    <t>There is a good use of evidence and examples, supporting points adequately.</t>
  </si>
  <si>
    <t>Evidence and examples are well-integrated, enhancing the content's credibility.</t>
  </si>
  <si>
    <t>The text uses evidence and examples effectively to substantiate claims.</t>
  </si>
  <si>
    <t>A strong presence of relevant evidence and examples bolsters the arguments.</t>
  </si>
  <si>
    <t>Evidence and examples are used extensively and are highly relevant to the arguments.</t>
  </si>
  <si>
    <t>The text is rich in compelling evidence and illustrative examples, providing strong support for points.</t>
  </si>
  <si>
    <t>Evidence and examples are used to their fullest extent, offering irrefutable support for all arguments.</t>
  </si>
  <si>
    <t>Historical Context Level</t>
  </si>
  <si>
    <t>No historical context, with content existing in a present-day vacuum.</t>
  </si>
  <si>
    <t>Minimal historical context, with rare references to past events.</t>
  </si>
  <si>
    <t>Some historical context, with occasional nods to historical relevance.</t>
  </si>
  <si>
    <t>Moderate historical context, providing a balance between past and present insights.</t>
  </si>
  <si>
    <t>Balanced historical context, with a thoughtful integration of history to enhance understanding.</t>
  </si>
  <si>
    <t>Fair historical context, with regular references to historical events to inform the current narrative.</t>
  </si>
  <si>
    <t>Strong historical context, with a deep dive into the past to enrich the content's meaning.</t>
  </si>
  <si>
    <t>Very historical, with content that is heavily informed by and intertwined with historical events.</t>
  </si>
  <si>
    <t>Highly historical, with a narrative deeply rooted in and shaped by historical context.</t>
  </si>
  <si>
    <t>Maximally historical, with content that is as much about the past as it is about the present.</t>
  </si>
  <si>
    <t>Interactive Level</t>
  </si>
  <si>
    <t>Non-interactive, with no engagement or dialogue with the reader.</t>
  </si>
  <si>
    <t>Minimally interactive, with occasional questions or prompts for thought.</t>
  </si>
  <si>
    <t>Somewhat interactive, with sparse invitations for reader participation.</t>
  </si>
  <si>
    <t>Moderately interactive, with a balance of content and reader engagement opportunities.</t>
  </si>
  <si>
    <t>Balanced interactivity, inviting reader input while maintaining a narrative flow.</t>
  </si>
  <si>
    <t>Noticeably interactive, with regular prompts for reader involvement.</t>
  </si>
  <si>
    <t>Highly interactive, with frequent direct engagement and calls for reader action.</t>
  </si>
  <si>
    <t>Very interactive, with content that actively solicits reader participation and response.</t>
  </si>
  <si>
    <t>Extremely interactive, with a conversational style that demands reader engagement.</t>
  </si>
  <si>
    <t>Maximally interactive, with a constant push for reader dialogue and interaction.</t>
  </si>
  <si>
    <t>Confidence Building</t>
  </si>
  <si>
    <t>Gently nudges towards the idea that improvement is possible, with a subtle hint of reassurance.</t>
  </si>
  <si>
    <t>Offers a whisper of encouragement, suggesting that with small steps, confidence can begin to grow.</t>
  </si>
  <si>
    <t>Introduces the concept that, despite uncertainties, there is a path forward to gaining more confidence.</t>
  </si>
  <si>
    <t>Encourages taking cautious but deliberate steps towards building a stronger sense of self-assurance.</t>
  </si>
  <si>
    <t>Provides balanced encouragement, highlighting that with effort and time, confidence can be significantly improved.</t>
  </si>
  <si>
    <t>Motivates with examples of achievable goals, suggesting that overcoming challenges can lead to increased confidence.</t>
  </si>
  <si>
    <t>Actively promotes the idea that through facing fears and embracing challenges, confidence can be built more robustly.</t>
  </si>
  <si>
    <t>Asserts strongly that with determination and the right strategies, a high level of confidence is within reach.</t>
  </si>
  <si>
    <t>Empowers with a vibrant call to action, emphasizing that transformative confidence is achievable with bold steps and perseverance.</t>
  </si>
  <si>
    <t>Inspires with a compelling vision of ultimate confidence, asserting that with unwavering commitment, anyone can achieve their highest potential for self-assurance.</t>
  </si>
  <si>
    <t>Emotional Storytelling Level</t>
  </si>
  <si>
    <t>No emotional storytelling, with a purely factual approach.</t>
  </si>
  <si>
    <t>Minimal emotional storytelling, with rare, subtle touches of narrative.</t>
  </si>
  <si>
    <t>Some emotional storytelling, with occasional personal or emotive elements.</t>
  </si>
  <si>
    <t>Moderate emotional storytelling, weaving narrative with information.</t>
  </si>
  <si>
    <t>Balanced emotional storytelling, with a harmonious blend of fact and feeling.</t>
  </si>
  <si>
    <t>Fairly emotional storytelling, with a strong narrative thread.</t>
  </si>
  <si>
    <t>Strong emotional storytelling, with powerful and engaging narratives.</t>
  </si>
  <si>
    <t>Very emotional storytelling, with rich, captivating stories.</t>
  </si>
  <si>
    <t>Highly emotional storytelling, with deeply moving and persuasive narratives.</t>
  </si>
  <si>
    <t>Intensely emotional storytelling, with a profound and evocative narrative style.</t>
  </si>
  <si>
    <t>Emphasis and Highlighting</t>
  </si>
  <si>
    <t>No emphasis, key points are lost.</t>
  </si>
  <si>
    <t>Minimal emphasis, important points not clearly highlighted.</t>
  </si>
  <si>
    <t>Some emphasis, but key points could be highlighted better.</t>
  </si>
  <si>
    <t>Moderate emphasis, highlights key points to an extent.</t>
  </si>
  <si>
    <t>Good emphasis, key points are noticeable.</t>
  </si>
  <si>
    <t>Strong emphasis on important points, very clear.</t>
  </si>
  <si>
    <t>High level of emphasis, key points stand out clearly.</t>
  </si>
  <si>
    <t>Very high emphasis, exceptionally clear highlighting of key points.</t>
  </si>
  <si>
    <t>Exceptional emphasis, masterful highlighting of key information.</t>
  </si>
  <si>
    <t>Perfect emphasis, key points are unmissable and impactful.</t>
  </si>
  <si>
    <t>Engagement Level</t>
  </si>
  <si>
    <t>Disengaging, with content that fails to capture the reader's interest.</t>
  </si>
  <si>
    <t>Minimally engaging, with only occasional elements that draw the reader in.</t>
  </si>
  <si>
    <t>Somewhat engaging, with some content that piques the reader's curiosity.</t>
  </si>
  <si>
    <t>Moderately engaging, with a balance of interesting and less compelling content.</t>
  </si>
  <si>
    <t>Balanced engagement, with content that consistently holds the reader's attention.</t>
  </si>
  <si>
    <t>Fairly engaging, with content that is generally interesting and inviting to the reader.</t>
  </si>
  <si>
    <t>Highly engaging, with compelling content that keeps the reader actively involved.</t>
  </si>
  <si>
    <t>Very engaging, with content that is captivating and keeps the reader's full attention.</t>
  </si>
  <si>
    <t>Exceptionally engaging, with a magnetic quality that enthralls the reader.</t>
  </si>
  <si>
    <t>Maximally engaging, with irresistibly compelling content that the reader cannot put down.</t>
  </si>
  <si>
    <t>Personalization Level</t>
  </si>
  <si>
    <t>Engagement and Interaction</t>
  </si>
  <si>
    <t>Generic, with no personalization or audience targeting.</t>
  </si>
  <si>
    <t>Minimal personalization, with slight audience-specific references.</t>
  </si>
  <si>
    <t>Some personalization, with occasional nods to the audience's preferences.</t>
  </si>
  <si>
    <t>Moderate personalization, with tailored content that reflects audience interests.</t>
  </si>
  <si>
    <t>Balanced personalization, with content that resonates with a broad audience while feeling individualized.</t>
  </si>
  <si>
    <t>Fair personalization, with clear attempts to connect with the audience on a personal level.</t>
  </si>
  <si>
    <t>Strong personalization, with content that speaks directly to the audience's desires and needs.</t>
  </si>
  <si>
    <t>Very personalized, with content that deeply resonates with the audience's identity and preferences.</t>
  </si>
  <si>
    <t>Highly personalized, with a tailored experience that feels intimate and exclusive.</t>
  </si>
  <si>
    <t>Extremely personalized, with content that feels uniquely crafted for each individual reader.</t>
  </si>
  <si>
    <t>Tone Consistency</t>
  </si>
  <si>
    <t>The tone is inconsistent, shifting unpredictably throughout the text.</t>
  </si>
  <si>
    <t>The tone has slight variations but generally tries to maintain consistency.</t>
  </si>
  <si>
    <t>The tone is fairly consistent with occasional shifts in style or emotion.</t>
  </si>
  <si>
    <t>There is a moderate level of tone consistency, maintaining a steady voice.</t>
  </si>
  <si>
    <t>The tone is consistently maintained throughout, with appropriate variations for emphasis.</t>
  </si>
  <si>
    <t>The text exhibits a strong and consistent tone, reinforcing the message.</t>
  </si>
  <si>
    <t>The tone is very consistent, with precise control over the mood and style.</t>
  </si>
  <si>
    <t>The tone is highly consistent, expertly conveying a uniform sentiment throughout.</t>
  </si>
  <si>
    <t>The tone is exceptionally consistent, maintaining the same style and emotion to a high degree.</t>
  </si>
  <si>
    <t>The tone is impeccably consistent, flawlessly sustaining the same mood and voice across the text.</t>
  </si>
  <si>
    <t>Controversy Level</t>
  </si>
  <si>
    <t>Non-controversial, with content that avoids any divisive topics.</t>
  </si>
  <si>
    <t>Minimally controversial, with rare and mild references to contentious issues.</t>
  </si>
  <si>
    <t>Somewhat controversial, with occasional touches on hot-button topics.</t>
  </si>
  <si>
    <t>Moderately controversial, with a balance of safe and provocative content.</t>
  </si>
  <si>
    <t>Balanced controversy, with content that thoughtfully engages with contentious issues.</t>
  </si>
  <si>
    <t>Fairly controversial, with clear positions on divisive topics.</t>
  </si>
  <si>
    <t>Strongly controversial, with content that boldly addresses contentious subjects.</t>
  </si>
  <si>
    <t>Very controversial, with a focus on provocative and polarizing themes.</t>
  </si>
  <si>
    <t>Highly controversial, with content that consistently challenges and provokes strong reactions.</t>
  </si>
  <si>
    <t>Maximally controversial, with content centered around highly divisive and polarizing issues.</t>
  </si>
  <si>
    <t>Meta-Communication Level</t>
  </si>
  <si>
    <t>No meta-communication, with messages conveyed at face value.</t>
  </si>
  <si>
    <t>Minimal meta-communication, with rare acknowledgments of the communication process.</t>
  </si>
  <si>
    <t>Some meta-communication, with occasional references to the act of messaging itself.</t>
  </si>
  <si>
    <t>Moderate meta-communication, with a balance of direct messaging and references to the communication process.</t>
  </si>
  <si>
    <t>Balanced meta-communication, with deliberate nods to the narrative or communicative framework.</t>
  </si>
  <si>
    <t>Fair meta-communication, with purposeful breaks in the fourth wall or self-referential elements.</t>
  </si>
  <si>
    <t>Strong meta-communication, with frequent direct engagement with the reader about the communication act.</t>
  </si>
  <si>
    <t>Very strong meta-communication, with content that regularly comments on its own structure and purpose.</t>
  </si>
  <si>
    <t>Highly meta-communicative, with a narrative that constantly reflects on its own creation and impact.</t>
  </si>
  <si>
    <t>Maximally meta-communicative, with a pervasive awareness and discussion of the messaging process itself.</t>
  </si>
  <si>
    <t>Redundancy Level</t>
  </si>
  <si>
    <t>The writing is highly concise with virtually no redundancy.</t>
  </si>
  <si>
    <t>The text contains minimal redundancy, with only slight repetitions for clarity.</t>
  </si>
  <si>
    <t>Redundancy is low, ensuring that information is rarely repeated unless for emphasis.</t>
  </si>
  <si>
    <t>There's a moderate level of redundancy to reinforce certain points without being overly repetitive.</t>
  </si>
  <si>
    <t>Redundancy is balanced, occasionally repeating information for effect or comprehension.</t>
  </si>
  <si>
    <t>The writing includes purposeful redundancy to aid retention of key concepts.</t>
  </si>
  <si>
    <t>Redundancy is noticeable and used strategically to highlight important information.</t>
  </si>
  <si>
    <t>The text is quite redundant, often reiterating points to ensure they are not missed.</t>
  </si>
  <si>
    <t>Writing is heavily redundant, with frequent repetition for dramatic effect or emphasis.</t>
  </si>
  <si>
    <t>The writing is extremely redundant, with constant repetition that may be intentional or for stylistic purposes.</t>
  </si>
  <si>
    <t>Relevance</t>
  </si>
  <si>
    <t>Irrelevant, with content that does not connect to the reader's needs or interests.</t>
  </si>
  <si>
    <t>Minimally relevant, with slight connections to the audience's concerns.</t>
  </si>
  <si>
    <t>Somewhat relevant, with content that occasionally addresses the audience's interests.</t>
  </si>
  <si>
    <t>Moderately relevant, with a balance of general interest and targeted content.</t>
  </si>
  <si>
    <t>Balanced relevance, with material that aligns well with the audience's needs.</t>
  </si>
  <si>
    <t>Fairly relevant, with content that frequently hits on points of interest for the reader.</t>
  </si>
  <si>
    <t>Strongly relevant, with a sharp focus on topics that resonate with the audience.</t>
  </si>
  <si>
    <t>Very relevant, with content deeply aligned with the reader's core concerns.</t>
  </si>
  <si>
    <t>Highly relevant, with a narrative that consistently connects with the audience's most pressing interests.</t>
  </si>
  <si>
    <t>Maximally relevant, with every element crafted to engage the reader's deepest needs and interests.</t>
  </si>
  <si>
    <t>Strategic Level</t>
  </si>
  <si>
    <t>Non-strategic, with no apparent long-term vision or planning.</t>
  </si>
  <si>
    <t>Minimally strategic, with a basic level of foresight.</t>
  </si>
  <si>
    <t>Some strategic elements, with a hint of forward-thinking.</t>
  </si>
  <si>
    <t>Moderately strategic, with a balance of current and future considerations.</t>
  </si>
  <si>
    <t>Balanced strategy, with a well-considered approach to immediate and long-term goals.</t>
  </si>
  <si>
    <t>Fairly strategic, with a clear focus on achieving specific objectives.</t>
  </si>
  <si>
    <t>Strategically focused, with a strong vision and actionable steps.</t>
  </si>
  <si>
    <t>Highly strategic, with a comprehensive and detailed plan of action.</t>
  </si>
  <si>
    <t>Very strategic, with a deep and thorough integration of long-term planning.</t>
  </si>
  <si>
    <t>Masterfully strategic, with every element crafted for maximum long-term impact.</t>
  </si>
  <si>
    <t>Hook Level</t>
  </si>
  <si>
    <t>Lacking a hook, with no elements designed to grab attention.</t>
  </si>
  <si>
    <t>Slight hook, with a minimal attempt to engage the reader's interest.</t>
  </si>
  <si>
    <t>Mild hook, with a gentle pull to pique curiosity.</t>
  </si>
  <si>
    <t>Moderate hook, with a clear effort to engage and intrigue the reader.</t>
  </si>
  <si>
    <t>Balanced hook, with a strategic mix of interest and information.</t>
  </si>
  <si>
    <t>Engaging hook, with a compelling start that draws readers in.</t>
  </si>
  <si>
    <t>Strong hook, with a highly captivating opening.</t>
  </si>
  <si>
    <t>Very strong hook, designed to immediately captivate and hold attention.</t>
  </si>
  <si>
    <t>Compelling hook, with a magnetic pull that's hard to resist.</t>
  </si>
  <si>
    <t>Irresistible hook, with an opening that grabs and keeps the reader's full attention.</t>
  </si>
  <si>
    <t>Introduction Engagement Level</t>
  </si>
  <si>
    <t>The introduction is minimal, providing a bare entry into the topic.</t>
  </si>
  <si>
    <t>The introduction slightly catches interest with a basic hook.</t>
  </si>
  <si>
    <t>The opening is moderately engaging with some thought-provoking elements.</t>
  </si>
  <si>
    <t>The introduction is engaging, presenting an interesting hook that piques curiosity.</t>
  </si>
  <si>
    <t>The introductory passage is fairly captivating, designed to hold average attention.</t>
  </si>
  <si>
    <t>The introduction is engaging with a substantial hook that draws in a discerning audience.</t>
  </si>
  <si>
    <t>The opening is highly engaging, offering a strong hook that grabs attention.</t>
  </si>
  <si>
    <t>The introduction is very compelling, with a powerful hook that captivates readers.</t>
  </si>
  <si>
    <t>The opening is intensely engaging, with a magnetic hook that enthralls.</t>
  </si>
  <si>
    <t>The introduction is exceptionally engaging, with an irresistible hook that commands attention.</t>
  </si>
  <si>
    <t>Narrative Flow</t>
  </si>
  <si>
    <t>The narrative is disjointed, with little to no flow between sentences and ideas.</t>
  </si>
  <si>
    <t>Narrative flow is minimal, with occasional connections that provide some coherence.</t>
  </si>
  <si>
    <t>The narrative has a slight flow, with a loose thread connecting ideas and sections.</t>
  </si>
  <si>
    <t>There is a moderate narrative flow that guides the reader through the text with some ease.</t>
  </si>
  <si>
    <t>The narrative flow is balanced, providing a steady progression of ideas and content.</t>
  </si>
  <si>
    <t>The writing has a smooth narrative flow, linking ideas together in a cohesive manner.</t>
  </si>
  <si>
    <t>Narrative flow is strong, with a clear and engaging progression of thoughts and concepts.</t>
  </si>
  <si>
    <t>The text flows very well, with a seamless transition from one idea to the next.</t>
  </si>
  <si>
    <t>Writing has an excellent narrative flow, expertly guiding the reader through a compelling storyline.</t>
  </si>
  <si>
    <t>The narrative is exceptionally fluid, with a masterful flow that captivates and carries the reader effortlessly.</t>
  </si>
  <si>
    <t>Narrative Momentum</t>
  </si>
  <si>
    <t>Stagnant, fails to progress the narrative.</t>
  </si>
  <si>
    <t>Very slow narrative progression, lacks engagement.</t>
  </si>
  <si>
    <t>Slow progression, narrative moves but lacks excitement.</t>
  </si>
  <si>
    <t>Moderate narrative momentum, some progression.</t>
  </si>
  <si>
    <t>Balanced narrative momentum, steady and engaging.</t>
  </si>
  <si>
    <t>Good narrative progression, maintains reader interest.</t>
  </si>
  <si>
    <t>Strong narrative momentum, continuously engaging.</t>
  </si>
  <si>
    <t>Very strong momentum, compelling and captivating.</t>
  </si>
  <si>
    <t>Exceptional narrative momentum, highly captivating.</t>
  </si>
  <si>
    <t>Perfect narrative momentum, masterfully engaging from start to finish.</t>
  </si>
  <si>
    <t>Persuasiveness</t>
  </si>
  <si>
    <t>Not persuasive, with content that fails to convince or influence the reader.</t>
  </si>
  <si>
    <t>Slightly persuasive, with minimal attempts to sway the reader's opinion.</t>
  </si>
  <si>
    <t>Somewhat persuasive, with occasional compelling arguments or appeals.</t>
  </si>
  <si>
    <t>Moderately persuasive, with a mix of strong and weaker persuasive elements.</t>
  </si>
  <si>
    <t>Balanced persuasiveness, with content that frequently makes convincing arguments.</t>
  </si>
  <si>
    <t>Fairly persuasive, with content that presents strong cases and influences the reader.</t>
  </si>
  <si>
    <t>Highly persuasive, with compelling content that strongly sways the reader's perspective.</t>
  </si>
  <si>
    <t>Very persuasive, with arguments and appeals that are hard for the reader to resist.</t>
  </si>
  <si>
    <t>Exceptionally persuasive, with a narrative that convinces the reader with powerful rhetoric and evidence.</t>
  </si>
  <si>
    <t>Maximally persuasive, with content that is inescapably compelling and changes the reader's viewpoints.</t>
  </si>
  <si>
    <t>Suspense Building</t>
  </si>
  <si>
    <t>No suspense, with a straightforward delivery that reveals information readily.</t>
  </si>
  <si>
    <t>Minimal suspense, with slight withholding of information for effect.</t>
  </si>
  <si>
    <t>Some suspense, with occasional buildup before revealing key points.</t>
  </si>
  <si>
    <t>Moderate suspense building, with a deliberate pacing that creates anticipation.</t>
  </si>
  <si>
    <t>Balanced suspense, with content that strategically builds and resolves tension.</t>
  </si>
  <si>
    <t>Fair suspense building, with regular use of narrative techniques to keep the reader guessing.</t>
  </si>
  <si>
    <t>Strong suspense building, with content that consistently engages and holds the reader in anticipation.</t>
  </si>
  <si>
    <t>Very strong suspense building, with a narrative that masterfully creates a sense of urgency and curiosity.</t>
  </si>
  <si>
    <t>Highly suspenseful, with a gripping approach that keeps the reader on the edge of their seat.</t>
  </si>
  <si>
    <t>Maximally suspenseful, with an intense and relentless buildup that demands the reader's full attention.</t>
  </si>
  <si>
    <t>Active/Passive Voice Ratio</t>
  </si>
  <si>
    <t>The writing predominantly uses passive voice, with active voice being very rare.</t>
  </si>
  <si>
    <t>Passive voice is more common than active, giving the text a more formal or detached tone.</t>
  </si>
  <si>
    <t>The text leans towards passive voice but includes enough active sentences to maintain dynamism.</t>
  </si>
  <si>
    <t>There's a balance between active and passive voice, with a tilt towards passive constructions.</t>
  </si>
  <si>
    <t>Active and passive voice are used in equal measure, providing a balanced and varied sentence structure.</t>
  </si>
  <si>
    <t>The writing is slightly more active than passive, giving it a more dynamic and engaging quality.</t>
  </si>
  <si>
    <t>Active voice is frequently used, breathing energy and directness into the writing.</t>
  </si>
  <si>
    <t>The text is predominantly active, creating a sense of immediacy and action.</t>
  </si>
  <si>
    <t>Writing heavily favors active voice, making it very direct and vigorous.</t>
  </si>
  <si>
    <t>The writing is almost exclusively in the active voice, resulting in a highly dynamic and commanding style.</t>
  </si>
  <si>
    <t>Balance of Narrative and Expository Elements</t>
  </si>
  <si>
    <t>Imbalanced, heavily narrative or expository</t>
  </si>
  <si>
    <t>Strongly imbalanced towards narrative or expository</t>
  </si>
  <si>
    <t>Noticeably imbalanced, favoring narrative or expository</t>
  </si>
  <si>
    <t>Moderately imbalanced, slight favoring</t>
  </si>
  <si>
    <t>Balanced, but with a slight leaning</t>
  </si>
  <si>
    <t>Well-balanced, with equal narrative and expository elements</t>
  </si>
  <si>
    <t>Good balance, with seamless integration</t>
  </si>
  <si>
    <t>Very well-balanced, enhancing overall narrative</t>
  </si>
  <si>
    <t>Excellent balance, perfect integration</t>
  </si>
  <si>
    <t>Perfect balance, ideal narrative and expository mix</t>
  </si>
  <si>
    <t>Clarity and Conciseness</t>
  </si>
  <si>
    <t>Very unclear and wordy, lacks focus.</t>
  </si>
  <si>
    <t>Somewhat unclear, more verbose than necessary.</t>
  </si>
  <si>
    <t>Moderately clear, but could be more concise.</t>
  </si>
  <si>
    <t>Fairly clear and somewhat concise.</t>
  </si>
  <si>
    <t>Good balance of clarity and conciseness.</t>
  </si>
  <si>
    <t>Clear and more concise, efficiently communicated.</t>
  </si>
  <si>
    <t>Highly clear and concise, no unnecessary words.</t>
  </si>
  <si>
    <t>Very clear and very concise, extremely efficient in communication.</t>
  </si>
  <si>
    <t>Exceptionally clear and concise, masterful efficiency in communication.</t>
  </si>
  <si>
    <t>Perfect clarity and conciseness, every word purposeful.</t>
  </si>
  <si>
    <t>Formality Level</t>
  </si>
  <si>
    <t>Entirely informal, with a casual and conversational tone throughout.</t>
  </si>
  <si>
    <t>Minimally formal, with a relaxed style that includes occasional formal touches.</t>
  </si>
  <si>
    <t>Somewhat formal, with a mix of casual language and formal expressions.</t>
  </si>
  <si>
    <t>Moderately formal, with a balance of informality and professional language.</t>
  </si>
  <si>
    <t>Balanced formality, suitable for a wide audience with a blend of conversational and formal tones.</t>
  </si>
  <si>
    <t>Fairly formal, with a tone that leans towards professional and courteous language.</t>
  </si>
  <si>
    <t>Strongly formal, with a style that adheres to conventional professional standards.</t>
  </si>
  <si>
    <t>Very formal, with a narrative that strictly follows formal language and etiquette.</t>
  </si>
  <si>
    <t>Highly formal, with content that maintains a serious and dignified tone throughout.</t>
  </si>
  <si>
    <t>Maximally formal, with a rigid adherence to the most formal levels of communication.</t>
  </si>
  <si>
    <t>Information Density</t>
  </si>
  <si>
    <t>Sparse information, overly simplistic.</t>
  </si>
  <si>
    <t>Limited information, lacks depth.</t>
  </si>
  <si>
    <t>Some useful information, but still quite basic.</t>
  </si>
  <si>
    <t>Moderate level of information, somewhat detailed.</t>
  </si>
  <si>
    <t>Balanced information density, neither overwhelming nor too sparse.</t>
  </si>
  <si>
    <t>Rich in information, detailed but accessible.</t>
  </si>
  <si>
    <t>High information density, detailed and comprehensive.</t>
  </si>
  <si>
    <t>Very high information density, deeply informative.</t>
  </si>
  <si>
    <t>Extremely dense with information, bordering on overload.</t>
  </si>
  <si>
    <t>Maximum information density, possibly overwhelming.</t>
  </si>
  <si>
    <t>Punctuation Usage</t>
  </si>
  <si>
    <t>Incorrect or no punctuation</t>
  </si>
  <si>
    <t>Minimal, often incorrect punctuation</t>
  </si>
  <si>
    <t>Some incorrect punctuation</t>
  </si>
  <si>
    <t>Adequate, but with occasional errors</t>
  </si>
  <si>
    <t>Generally correct, but unremarkable</t>
  </si>
  <si>
    <t>Correct and functional</t>
  </si>
  <si>
    <t>Well-placed and effective punctuation</t>
  </si>
  <si>
    <t>Excellent, enhances readability</t>
  </si>
  <si>
    <t>Masterful, with impactful punctuation</t>
  </si>
  <si>
    <t>Perfect, punctuation elevates text</t>
  </si>
  <si>
    <t>Rhythmic Cadence</t>
  </si>
  <si>
    <t>Monotonous, little variation in sentence length or structure.</t>
  </si>
  <si>
    <t>Slightly varied rhythm, but still quite uniform.</t>
  </si>
  <si>
    <t>Some variation in rhythm, but lacks dynamic flow.</t>
  </si>
  <si>
    <t>Moderate variation in rhythm, beginning to show some dynamism.</t>
  </si>
  <si>
    <t>Balanced rhythm with noticeable variation, fairly dynamic.</t>
  </si>
  <si>
    <t>Good rhythmic flow with varied sentence structures.</t>
  </si>
  <si>
    <t>Engaging and dynamic rhythm, diverse in structure.</t>
  </si>
  <si>
    <t>Very engaging rhythm, high diversity in sentence length and structure.</t>
  </si>
  <si>
    <t>Exceptionally dynamic and rhythmic, almost musical in flow.</t>
  </si>
  <si>
    <t>Perfect rhythmic cadence, masterful control of flow and structure.</t>
  </si>
  <si>
    <t>Transitional Fluidity</t>
  </si>
  <si>
    <t>Abrupt, no transitions</t>
  </si>
  <si>
    <t>Very abrupt, minimal transitions</t>
  </si>
  <si>
    <t>Somewhat abrupt, few transitions</t>
  </si>
  <si>
    <t>Moderate, with noticeable abruptness</t>
  </si>
  <si>
    <t>Average, some smooth transitions</t>
  </si>
  <si>
    <t>Mostly smooth, with good transitions</t>
  </si>
  <si>
    <t>Smooth, with thoughtful transitions</t>
  </si>
  <si>
    <t>Very smooth, seamless transitions</t>
  </si>
  <si>
    <t>Exceptional, with artful transitions</t>
  </si>
  <si>
    <t>Perfect, with impeccable transitions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</si>
</sst>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0"/>
      <color rgb="FF000000"/>
      <name val="Arial"/>
      <scheme val="minor"/>
    </font>
    <font>
      <b/>
      <sz val="10"/>
      <color rgb="FF374151"/>
      <name val="Söhne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sz val="10"/>
      <name val="Arial"/>
    </font>
    <font>
      <b/>
      <sz val="10"/>
      <color rgb="FF374151"/>
      <name val="Arial"/>
    </font>
    <font>
      <sz val="10"/>
      <color rgb="FF374151"/>
      <name val="Arial"/>
    </font>
    <font>
      <sz val="10"/>
      <color rgb="FFFF0000"/>
      <name val="Arial"/>
      <scheme val="minor"/>
    </font>
    <font>
      <sz val="10"/>
      <color theme="1"/>
      <name val="Arial"/>
    </font>
  </fonts>
  <fills count="6">
    <fill>
      <patternFill patternType="none"/>
    </fill>
    <fill>
      <patternFill patternType="gray125"/>
    </fill>
    <fill>
      <patternFill patternType="solid">
        <fgColor rgb="FFECECF1"/>
        <bgColor rgb="FFECECF1"/>
      </patternFill>
    </fill>
    <fill>
      <patternFill patternType="solid">
        <fgColor rgb="FFEFEFEF"/>
        <bgColor rgb="FFEFEFEF"/>
      </patternFill>
    </fill>
    <fill>
      <patternFill patternType="solid">
        <fgColor rgb="FFD9EAD3"/>
        <bgColor rgb="FFD9EAD3"/>
      </patternFill>
    </fill>
    <fill>
      <patternFill patternType="solid">
        <fgColor rgb="FFB6D7A8"/>
        <bgColor rgb="FFB6D7A8"/>
      </patternFill>
    </fill>
  </fills>
  <borders count="7">
    <border>
      <left/>
      <right/>
      <top/>
      <bottom/>
      <diagonal/>
    </border>
    <border>
      <left style="thin">
        <color rgb="FFD9D9E3"/>
      </left>
      <right/>
      <top style="thin">
        <color rgb="FFD9D9E3"/>
      </top>
      <bottom/>
      <diagonal/>
    </border>
    <border>
      <left style="thin">
        <color rgb="FFD9D9E3"/>
      </left>
      <right/>
      <top/>
      <bottom style="thin">
        <color rgb="FF000000"/>
      </bottom>
      <diagonal/>
    </border>
    <border>
      <left style="thin">
        <color rgb="FFD9D9E3"/>
      </left>
      <right/>
      <top style="thin">
        <color rgb="FFD9D9E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D9D9E3"/>
      </left>
      <right/>
      <top/>
      <bottom style="thin">
        <color rgb="FFD9D9E3"/>
      </bottom>
      <diagonal/>
    </border>
    <border>
      <left style="thin">
        <color rgb="FFD9D9E3"/>
      </left>
      <right style="thin">
        <color rgb="FFD9D9E3"/>
      </right>
      <top/>
      <bottom style="thin">
        <color rgb="FFD9D9E3"/>
      </bottom>
      <diagonal/>
    </border>
  </borders>
  <cellStyleXfs count="1">
    <xf numFmtId="0" fontId="0" fillId="0" borderId="0"/>
  </cellStyleXfs>
  <cellXfs count="31">
    <xf numFmtId="0" fontId="0" fillId="0" borderId="0" xfId="0" applyFont="1" applyAlignment="1"/>
    <xf numFmtId="0" fontId="2" fillId="3" borderId="0" xfId="0" applyFont="1" applyFill="1" applyAlignment="1">
      <alignment horizontal="center"/>
    </xf>
    <xf numFmtId="0" fontId="2" fillId="3" borderId="0" xfId="0" applyFont="1" applyFill="1" applyAlignment="1"/>
    <xf numFmtId="0" fontId="3" fillId="0" borderId="0" xfId="0" applyFont="1" applyAlignment="1">
      <alignment horizontal="center"/>
    </xf>
    <xf numFmtId="0" fontId="1" fillId="2" borderId="3" xfId="0" applyFont="1" applyFill="1" applyBorder="1" applyAlignment="1">
      <alignment horizontal="center" vertical="top" wrapText="1"/>
    </xf>
    <xf numFmtId="0" fontId="1" fillId="2" borderId="4" xfId="0" applyFont="1" applyFill="1" applyBorder="1" applyAlignment="1">
      <alignment horizontal="center" vertical="top" wrapText="1"/>
    </xf>
    <xf numFmtId="0" fontId="2" fillId="0" borderId="0" xfId="0" applyFont="1" applyAlignment="1">
      <alignment horizontal="center"/>
    </xf>
    <xf numFmtId="0" fontId="2" fillId="0" borderId="0" xfId="0" applyFont="1" applyAlignme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6" fillId="0" borderId="6" xfId="0" applyFont="1" applyBorder="1" applyAlignment="1">
      <alignment horizontal="left" vertical="top" wrapText="1"/>
    </xf>
    <xf numFmtId="0" fontId="3" fillId="0" borderId="0" xfId="0" applyFont="1" applyAlignment="1">
      <alignment vertical="top"/>
    </xf>
    <xf numFmtId="0" fontId="7" fillId="0" borderId="0" xfId="0" applyFont="1" applyAlignment="1">
      <alignment horizontal="center" vertical="top"/>
    </xf>
    <xf numFmtId="0" fontId="3" fillId="0" borderId="0" xfId="0" applyFont="1" applyAlignment="1">
      <alignment vertical="top" wrapText="1"/>
    </xf>
    <xf numFmtId="0" fontId="3" fillId="0" borderId="0" xfId="0" applyFont="1" applyAlignment="1">
      <alignment horizontal="center" vertical="top"/>
    </xf>
    <xf numFmtId="0" fontId="3" fillId="0" borderId="0" xfId="0" applyFont="1" applyAlignment="1">
      <alignment vertical="top"/>
    </xf>
    <xf numFmtId="0" fontId="7" fillId="5" borderId="0" xfId="0" applyFont="1" applyFill="1" applyAlignment="1">
      <alignment horizontal="center" vertical="top"/>
    </xf>
    <xf numFmtId="0" fontId="7" fillId="4" borderId="0" xfId="0" applyFont="1" applyFill="1" applyAlignment="1">
      <alignment horizontal="center" vertical="top"/>
    </xf>
    <xf numFmtId="0" fontId="6" fillId="0" borderId="0" xfId="0" applyFont="1" applyAlignment="1">
      <alignment horizontal="left" vertical="top" wrapText="1"/>
    </xf>
    <xf numFmtId="0" fontId="8" fillId="0" borderId="0" xfId="0" applyFont="1" applyAlignment="1">
      <alignment vertical="top" wrapText="1"/>
    </xf>
    <xf numFmtId="0" fontId="3" fillId="4" borderId="0" xfId="0" applyFont="1" applyFill="1" applyAlignment="1">
      <alignment horizontal="center" vertical="top"/>
    </xf>
    <xf numFmtId="0" fontId="3" fillId="0" borderId="0" xfId="0" applyFont="1" applyAlignment="1">
      <alignment wrapText="1"/>
    </xf>
    <xf numFmtId="0" fontId="5" fillId="0" borderId="0" xfId="0" applyFont="1" applyFill="1" applyAlignment="1">
      <alignment horizontal="center" vertical="top"/>
    </xf>
    <xf numFmtId="0" fontId="5" fillId="0" borderId="5" xfId="0" applyFont="1" applyFill="1" applyBorder="1" applyAlignment="1">
      <alignment horizontal="left" vertical="top"/>
    </xf>
    <xf numFmtId="0" fontId="5" fillId="0" borderId="0" xfId="0" applyFont="1" applyFill="1" applyAlignment="1">
      <alignment horizontal="center" vertical="top" wrapText="1"/>
    </xf>
    <xf numFmtId="0" fontId="5" fillId="0" borderId="5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center" vertical="center"/>
    </xf>
    <xf numFmtId="0" fontId="4" fillId="0" borderId="2" xfId="0" applyFont="1" applyBorder="1"/>
    <xf numFmtId="0" fontId="1" fillId="2" borderId="0" xfId="0" applyFont="1" applyFill="1" applyAlignment="1">
      <alignment horizontal="center" vertical="center" wrapText="1"/>
    </xf>
    <xf numFmtId="0" fontId="0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G914"/>
  <sheetViews>
    <sheetView tabSelected="1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O3" sqref="O3"/>
    </sheetView>
  </sheetViews>
  <sheetFormatPr defaultColWidth="12.7109375" defaultRowHeight="15.75" customHeight="1"/>
  <cols>
    <col min="1" max="1" width="7.28515625" customWidth="1"/>
    <col min="2" max="2" width="28.7109375" customWidth="1"/>
    <col min="3" max="3" width="18.140625" customWidth="1"/>
    <col min="4" max="13" width="28.140625" customWidth="1"/>
    <col min="14" max="14" width="4.140625" customWidth="1"/>
    <col min="15" max="15" width="7.42578125" customWidth="1"/>
    <col min="16" max="16" width="48.140625" customWidth="1"/>
    <col min="17" max="17" width="3.28515625" customWidth="1"/>
    <col min="18" max="18" width="48.140625" customWidth="1"/>
    <col min="19" max="19" width="3.28515625" customWidth="1"/>
    <col min="20" max="20" width="48.140625" customWidth="1"/>
    <col min="21" max="21" width="3.28515625" customWidth="1"/>
    <col min="22" max="26" width="6" customWidth="1"/>
  </cols>
  <sheetData>
    <row r="1" spans="1:33" ht="21.75" customHeight="1">
      <c r="A1" s="27" t="s">
        <v>0</v>
      </c>
      <c r="B1" s="27" t="s">
        <v>1</v>
      </c>
      <c r="C1" s="27" t="s">
        <v>2</v>
      </c>
      <c r="D1" s="29" t="s">
        <v>3</v>
      </c>
      <c r="E1" s="30"/>
      <c r="F1" s="30"/>
      <c r="G1" s="30"/>
      <c r="H1" s="30"/>
      <c r="I1" s="30"/>
      <c r="J1" s="30"/>
      <c r="K1" s="30"/>
      <c r="L1" s="30"/>
      <c r="M1" s="30"/>
      <c r="O1" s="1"/>
      <c r="P1" s="2" t="s">
        <v>4</v>
      </c>
      <c r="R1" s="2" t="s">
        <v>5</v>
      </c>
      <c r="T1" s="2" t="s">
        <v>6</v>
      </c>
      <c r="V1" s="3"/>
      <c r="W1" s="3"/>
      <c r="X1" s="3"/>
      <c r="Y1" s="3"/>
      <c r="Z1" s="3"/>
    </row>
    <row r="2" spans="1:33" ht="23.25" customHeight="1">
      <c r="A2" s="28"/>
      <c r="B2" s="28"/>
      <c r="C2" s="28"/>
      <c r="D2" s="4">
        <v>1</v>
      </c>
      <c r="E2" s="4">
        <v>2</v>
      </c>
      <c r="F2" s="4">
        <v>3</v>
      </c>
      <c r="G2" s="4">
        <v>4</v>
      </c>
      <c r="H2" s="4">
        <v>5</v>
      </c>
      <c r="I2" s="4">
        <v>6</v>
      </c>
      <c r="J2" s="4">
        <v>7</v>
      </c>
      <c r="K2" s="4">
        <v>8</v>
      </c>
      <c r="L2" s="4">
        <v>9</v>
      </c>
      <c r="M2" s="5">
        <v>10</v>
      </c>
      <c r="O2" s="6" t="s">
        <v>7</v>
      </c>
      <c r="P2" s="7" t="s">
        <v>8</v>
      </c>
      <c r="R2" s="7" t="s">
        <v>8</v>
      </c>
      <c r="T2" s="7" t="s">
        <v>8</v>
      </c>
      <c r="V2" s="8" t="s">
        <v>9</v>
      </c>
      <c r="W2" s="8" t="s">
        <v>10</v>
      </c>
      <c r="X2" s="8" t="s">
        <v>11</v>
      </c>
      <c r="Y2" s="8" t="s">
        <v>12</v>
      </c>
      <c r="Z2" s="8" t="s">
        <v>13</v>
      </c>
    </row>
    <row r="3" spans="1:33" ht="41.25" customHeight="1">
      <c r="A3" s="23"/>
      <c r="B3" s="24" t="s">
        <v>14</v>
      </c>
      <c r="C3" s="9" t="s">
        <v>15</v>
      </c>
      <c r="D3" s="10" t="s">
        <v>16</v>
      </c>
      <c r="E3" s="10" t="s">
        <v>17</v>
      </c>
      <c r="F3" s="10" t="s">
        <v>18</v>
      </c>
      <c r="G3" s="10" t="s">
        <v>19</v>
      </c>
      <c r="H3" s="10" t="s">
        <v>20</v>
      </c>
      <c r="I3" s="10" t="s">
        <v>21</v>
      </c>
      <c r="J3" s="10" t="s">
        <v>22</v>
      </c>
      <c r="K3" s="10" t="s">
        <v>23</v>
      </c>
      <c r="L3" s="10" t="s">
        <v>24</v>
      </c>
      <c r="M3" s="11" t="s">
        <v>25</v>
      </c>
      <c r="N3" s="12"/>
      <c r="O3" s="13">
        <v>0</v>
      </c>
      <c r="P3" s="14" t="e">
        <f t="shared" ref="P3:P4" si="0">"["&amp;B3&amp;"]=("&amp;O3&amp;"/10) "&amp;INDEX(D3:M3,O3)</f>
        <v>#VALUE!</v>
      </c>
      <c r="Q3" s="12"/>
      <c r="R3" s="14" t="str">
        <f t="shared" ref="R3:R58" si="1">"["&amp;$B3&amp;"]=("&amp;$O3&amp;"/10)"</f>
        <v>[Educational Reading Level]=(0/10)</v>
      </c>
      <c r="S3" s="12"/>
      <c r="T3" s="14" t="str">
        <f t="shared" ref="T3:T58" si="2">"["&amp;$B3&amp;"]="</f>
        <v>[Educational Reading Level]=</v>
      </c>
      <c r="U3" s="12"/>
      <c r="V3" s="15"/>
      <c r="W3" s="15"/>
      <c r="X3" s="15"/>
      <c r="Y3" s="15"/>
      <c r="Z3" s="15"/>
      <c r="AA3" s="16"/>
      <c r="AB3" s="12"/>
      <c r="AC3" s="12"/>
      <c r="AD3" s="12"/>
      <c r="AE3" s="12"/>
      <c r="AF3" s="12"/>
      <c r="AG3" s="12"/>
    </row>
    <row r="4" spans="1:33" ht="41.25" customHeight="1">
      <c r="A4" s="23"/>
      <c r="B4" s="24" t="s">
        <v>26</v>
      </c>
      <c r="C4" s="9" t="s">
        <v>27</v>
      </c>
      <c r="D4" s="10" t="s">
        <v>28</v>
      </c>
      <c r="E4" s="10" t="s">
        <v>29</v>
      </c>
      <c r="F4" s="10" t="s">
        <v>30</v>
      </c>
      <c r="G4" s="10" t="s">
        <v>31</v>
      </c>
      <c r="H4" s="10" t="s">
        <v>32</v>
      </c>
      <c r="I4" s="10" t="s">
        <v>33</v>
      </c>
      <c r="J4" s="10" t="s">
        <v>34</v>
      </c>
      <c r="K4" s="10" t="s">
        <v>35</v>
      </c>
      <c r="L4" s="10" t="s">
        <v>36</v>
      </c>
      <c r="M4" s="11" t="s">
        <v>37</v>
      </c>
      <c r="N4" s="12"/>
      <c r="O4" s="13">
        <v>0</v>
      </c>
      <c r="P4" s="14" t="e">
        <f t="shared" si="0"/>
        <v>#VALUE!</v>
      </c>
      <c r="Q4" s="12"/>
      <c r="R4" s="14" t="str">
        <f t="shared" si="1"/>
        <v>[Intensity]=(0/10)</v>
      </c>
      <c r="S4" s="12"/>
      <c r="T4" s="14" t="str">
        <f t="shared" si="2"/>
        <v>[Intensity]=</v>
      </c>
      <c r="U4" s="12"/>
      <c r="V4" s="15">
        <v>2</v>
      </c>
      <c r="W4" s="15">
        <v>2</v>
      </c>
      <c r="X4" s="15">
        <v>2</v>
      </c>
      <c r="Y4" s="15">
        <v>2</v>
      </c>
      <c r="Z4" s="15">
        <v>2</v>
      </c>
      <c r="AA4" s="16"/>
      <c r="AB4" s="12"/>
      <c r="AC4" s="12"/>
      <c r="AD4" s="12"/>
      <c r="AE4" s="12"/>
      <c r="AF4" s="12"/>
      <c r="AG4" s="12"/>
    </row>
    <row r="5" spans="1:33" ht="41.25" customHeight="1">
      <c r="A5" s="23"/>
      <c r="B5" s="24" t="s">
        <v>38</v>
      </c>
      <c r="C5" s="9" t="s">
        <v>27</v>
      </c>
      <c r="D5" s="10" t="s">
        <v>39</v>
      </c>
      <c r="E5" s="10" t="s">
        <v>40</v>
      </c>
      <c r="F5" s="10" t="s">
        <v>41</v>
      </c>
      <c r="G5" s="10" t="s">
        <v>42</v>
      </c>
      <c r="H5" s="10" t="s">
        <v>43</v>
      </c>
      <c r="I5" s="10" t="s">
        <v>44</v>
      </c>
      <c r="J5" s="10" t="s">
        <v>45</v>
      </c>
      <c r="K5" s="10" t="s">
        <v>46</v>
      </c>
      <c r="L5" s="10" t="s">
        <v>47</v>
      </c>
      <c r="M5" s="11" t="s">
        <v>48</v>
      </c>
      <c r="N5" s="12"/>
      <c r="O5" s="13">
        <v>0</v>
      </c>
      <c r="P5" s="14" t="str">
        <f t="array" ref="P5">"["&amp;$B5&amp;"]=("&amp;$O5&amp;"/10) "&amp;INDEX($D5:$M5,$O5)</f>
        <v>[Tone]=(0/10) Indifferent, lacking a clear emotional or stylistic tone.</v>
      </c>
      <c r="Q5" s="14"/>
      <c r="R5" s="14" t="str">
        <f t="shared" si="1"/>
        <v>[Tone]=(0/10)</v>
      </c>
      <c r="S5" s="14"/>
      <c r="T5" s="14" t="str">
        <f t="shared" si="2"/>
        <v>[Tone]=</v>
      </c>
      <c r="U5" s="12"/>
      <c r="V5" s="15">
        <v>6</v>
      </c>
      <c r="W5" s="15">
        <v>6</v>
      </c>
      <c r="X5" s="15">
        <v>6</v>
      </c>
      <c r="Y5" s="15">
        <v>6</v>
      </c>
      <c r="Z5" s="15">
        <v>6</v>
      </c>
      <c r="AA5" s="16"/>
      <c r="AB5" s="12"/>
      <c r="AC5" s="12"/>
      <c r="AD5" s="12"/>
      <c r="AE5" s="12"/>
      <c r="AF5" s="12"/>
      <c r="AG5" s="12"/>
    </row>
    <row r="6" spans="1:33" ht="41.25" customHeight="1">
      <c r="A6" s="23"/>
      <c r="B6" s="24" t="s">
        <v>49</v>
      </c>
      <c r="C6" s="9" t="s">
        <v>50</v>
      </c>
      <c r="D6" s="10" t="s">
        <v>51</v>
      </c>
      <c r="E6" s="10" t="s">
        <v>52</v>
      </c>
      <c r="F6" s="10" t="s">
        <v>53</v>
      </c>
      <c r="G6" s="10" t="s">
        <v>54</v>
      </c>
      <c r="H6" s="10" t="s">
        <v>55</v>
      </c>
      <c r="I6" s="10" t="s">
        <v>56</v>
      </c>
      <c r="J6" s="10" t="s">
        <v>57</v>
      </c>
      <c r="K6" s="10" t="s">
        <v>58</v>
      </c>
      <c r="L6" s="10" t="s">
        <v>59</v>
      </c>
      <c r="M6" s="11" t="s">
        <v>60</v>
      </c>
      <c r="N6" s="12"/>
      <c r="O6" s="13">
        <v>0</v>
      </c>
      <c r="P6" s="14" t="e">
        <f t="shared" ref="P6:P58" si="3">"["&amp;B6&amp;"]=("&amp;O6&amp;"/10) "&amp;INDEX(D6:M6,O6)</f>
        <v>#VALUE!</v>
      </c>
      <c r="Q6" s="12"/>
      <c r="R6" s="14" t="str">
        <f t="shared" si="1"/>
        <v>[Balance in Sentence Length]=(0/10)</v>
      </c>
      <c r="S6" s="12"/>
      <c r="T6" s="14" t="str">
        <f t="shared" si="2"/>
        <v>[Balance in Sentence Length]=</v>
      </c>
      <c r="U6" s="12"/>
      <c r="V6" s="15">
        <v>5</v>
      </c>
      <c r="W6" s="13">
        <v>8</v>
      </c>
      <c r="X6" s="17">
        <v>9</v>
      </c>
      <c r="Y6" s="13">
        <v>9</v>
      </c>
      <c r="Z6" s="13">
        <v>10</v>
      </c>
      <c r="AA6" s="16"/>
      <c r="AB6" s="12"/>
      <c r="AC6" s="12"/>
      <c r="AD6" s="12"/>
      <c r="AE6" s="12"/>
      <c r="AF6" s="12"/>
      <c r="AG6" s="12"/>
    </row>
    <row r="7" spans="1:33" ht="41.25" customHeight="1">
      <c r="A7" s="23"/>
      <c r="B7" s="24" t="s">
        <v>61</v>
      </c>
      <c r="C7" s="9" t="s">
        <v>50</v>
      </c>
      <c r="D7" s="10" t="s">
        <v>62</v>
      </c>
      <c r="E7" s="10" t="s">
        <v>63</v>
      </c>
      <c r="F7" s="10" t="s">
        <v>64</v>
      </c>
      <c r="G7" s="10" t="s">
        <v>65</v>
      </c>
      <c r="H7" s="10" t="s">
        <v>66</v>
      </c>
      <c r="I7" s="10" t="s">
        <v>67</v>
      </c>
      <c r="J7" s="10" t="s">
        <v>68</v>
      </c>
      <c r="K7" s="10" t="s">
        <v>69</v>
      </c>
      <c r="L7" s="10" t="s">
        <v>70</v>
      </c>
      <c r="M7" s="10" t="s">
        <v>71</v>
      </c>
      <c r="N7" s="12"/>
      <c r="O7" s="13">
        <v>0</v>
      </c>
      <c r="P7" s="14" t="e">
        <f t="shared" si="3"/>
        <v>#VALUE!</v>
      </c>
      <c r="Q7" s="12"/>
      <c r="R7" s="14" t="str">
        <f t="shared" si="1"/>
        <v>[Burstiness]=(0/10)</v>
      </c>
      <c r="S7" s="12"/>
      <c r="T7" s="14" t="str">
        <f t="shared" si="2"/>
        <v>[Burstiness]=</v>
      </c>
      <c r="U7" s="12"/>
      <c r="V7" s="15">
        <v>2</v>
      </c>
      <c r="W7" s="15">
        <v>2</v>
      </c>
      <c r="X7" s="15">
        <v>2</v>
      </c>
      <c r="Y7" s="15">
        <v>2</v>
      </c>
      <c r="Z7" s="15">
        <v>2</v>
      </c>
      <c r="AA7" s="16"/>
      <c r="AB7" s="12"/>
      <c r="AC7" s="12"/>
      <c r="AD7" s="12"/>
      <c r="AE7" s="12"/>
      <c r="AF7" s="12"/>
      <c r="AG7" s="12"/>
    </row>
    <row r="8" spans="1:33" ht="41.25" customHeight="1">
      <c r="A8" s="23"/>
      <c r="B8" s="24" t="s">
        <v>72</v>
      </c>
      <c r="C8" s="9" t="s">
        <v>50</v>
      </c>
      <c r="D8" s="10" t="s">
        <v>73</v>
      </c>
      <c r="E8" s="10" t="s">
        <v>74</v>
      </c>
      <c r="F8" s="10" t="s">
        <v>75</v>
      </c>
      <c r="G8" s="10" t="s">
        <v>76</v>
      </c>
      <c r="H8" s="10" t="s">
        <v>77</v>
      </c>
      <c r="I8" s="10" t="s">
        <v>78</v>
      </c>
      <c r="J8" s="10" t="s">
        <v>79</v>
      </c>
      <c r="K8" s="10" t="s">
        <v>80</v>
      </c>
      <c r="L8" s="10" t="s">
        <v>81</v>
      </c>
      <c r="M8" s="10" t="s">
        <v>82</v>
      </c>
      <c r="N8" s="12"/>
      <c r="O8" s="13">
        <v>0</v>
      </c>
      <c r="P8" s="14" t="e">
        <f t="shared" si="3"/>
        <v>#VALUE!</v>
      </c>
      <c r="Q8" s="12"/>
      <c r="R8" s="14" t="str">
        <f t="shared" si="1"/>
        <v>[Perplexity]=(0/10)</v>
      </c>
      <c r="S8" s="12"/>
      <c r="T8" s="14" t="str">
        <f t="shared" si="2"/>
        <v>[Perplexity]=</v>
      </c>
      <c r="U8" s="12"/>
      <c r="V8" s="15">
        <v>4</v>
      </c>
      <c r="W8" s="13">
        <v>2</v>
      </c>
      <c r="X8" s="13">
        <v>5</v>
      </c>
      <c r="Y8" s="13">
        <v>5</v>
      </c>
      <c r="Z8" s="13">
        <v>2</v>
      </c>
      <c r="AA8" s="16"/>
      <c r="AB8" s="12"/>
      <c r="AC8" s="12"/>
      <c r="AD8" s="12"/>
      <c r="AE8" s="12"/>
      <c r="AF8" s="12"/>
      <c r="AG8" s="12"/>
    </row>
    <row r="9" spans="1:33" ht="41.25" customHeight="1">
      <c r="A9" s="23"/>
      <c r="B9" s="24" t="s">
        <v>83</v>
      </c>
      <c r="C9" s="9" t="s">
        <v>50</v>
      </c>
      <c r="D9" s="10" t="s">
        <v>84</v>
      </c>
      <c r="E9" s="10" t="s">
        <v>85</v>
      </c>
      <c r="F9" s="10" t="s">
        <v>86</v>
      </c>
      <c r="G9" s="10" t="s">
        <v>87</v>
      </c>
      <c r="H9" s="10" t="s">
        <v>88</v>
      </c>
      <c r="I9" s="10" t="s">
        <v>89</v>
      </c>
      <c r="J9" s="10" t="s">
        <v>90</v>
      </c>
      <c r="K9" s="10" t="s">
        <v>91</v>
      </c>
      <c r="L9" s="10" t="s">
        <v>92</v>
      </c>
      <c r="M9" s="10" t="s">
        <v>93</v>
      </c>
      <c r="N9" s="12"/>
      <c r="O9" s="13">
        <v>0</v>
      </c>
      <c r="P9" s="14" t="e">
        <f t="shared" si="3"/>
        <v>#VALUE!</v>
      </c>
      <c r="Q9" s="12"/>
      <c r="R9" s="14" t="str">
        <f t="shared" si="1"/>
        <v>[Sentence Structure Variety]=(0/10)</v>
      </c>
      <c r="S9" s="12"/>
      <c r="T9" s="14" t="str">
        <f t="shared" si="2"/>
        <v>[Sentence Structure Variety]=</v>
      </c>
      <c r="U9" s="12"/>
      <c r="V9" s="15">
        <v>5</v>
      </c>
      <c r="W9" s="18">
        <v>7</v>
      </c>
      <c r="X9" s="13">
        <v>2</v>
      </c>
      <c r="Y9" s="13">
        <v>2</v>
      </c>
      <c r="Z9" s="13">
        <v>7</v>
      </c>
      <c r="AA9" s="16"/>
      <c r="AB9" s="12"/>
      <c r="AC9" s="12"/>
      <c r="AD9" s="12"/>
      <c r="AE9" s="12"/>
      <c r="AF9" s="12"/>
      <c r="AG9" s="12"/>
    </row>
    <row r="10" spans="1:33" ht="41.25" customHeight="1">
      <c r="A10" s="23"/>
      <c r="B10" s="24" t="s">
        <v>94</v>
      </c>
      <c r="C10" s="19" t="s">
        <v>95</v>
      </c>
      <c r="D10" s="10" t="s">
        <v>96</v>
      </c>
      <c r="E10" s="10" t="s">
        <v>97</v>
      </c>
      <c r="F10" s="10" t="s">
        <v>98</v>
      </c>
      <c r="G10" s="10" t="s">
        <v>99</v>
      </c>
      <c r="H10" s="10" t="s">
        <v>100</v>
      </c>
      <c r="I10" s="10" t="s">
        <v>101</v>
      </c>
      <c r="J10" s="10" t="s">
        <v>102</v>
      </c>
      <c r="K10" s="10" t="s">
        <v>103</v>
      </c>
      <c r="L10" s="10" t="s">
        <v>104</v>
      </c>
      <c r="M10" s="10" t="s">
        <v>105</v>
      </c>
      <c r="N10" s="20"/>
      <c r="O10" s="13">
        <v>0</v>
      </c>
      <c r="P10" s="14" t="e">
        <f t="shared" si="3"/>
        <v>#VALUE!</v>
      </c>
      <c r="Q10" s="14"/>
      <c r="R10" s="14" t="str">
        <f t="shared" si="1"/>
        <v>[Syntax Variety]=(0/10)</v>
      </c>
      <c r="S10" s="14"/>
      <c r="T10" s="14" t="str">
        <f t="shared" si="2"/>
        <v>[Syntax Variety]=</v>
      </c>
      <c r="U10" s="14"/>
      <c r="V10" s="15">
        <v>5</v>
      </c>
      <c r="W10" s="15">
        <v>5</v>
      </c>
      <c r="X10" s="15">
        <v>5</v>
      </c>
      <c r="Y10" s="15">
        <v>5</v>
      </c>
      <c r="Z10" s="15">
        <v>5</v>
      </c>
      <c r="AA10" s="16"/>
      <c r="AB10" s="12"/>
      <c r="AC10" s="12"/>
      <c r="AD10" s="12"/>
      <c r="AE10" s="12"/>
      <c r="AF10" s="12"/>
      <c r="AG10" s="12"/>
    </row>
    <row r="11" spans="1:33" ht="41.25" customHeight="1">
      <c r="A11" s="23"/>
      <c r="B11" s="24" t="s">
        <v>106</v>
      </c>
      <c r="C11" s="9" t="s">
        <v>15</v>
      </c>
      <c r="D11" s="10" t="s">
        <v>107</v>
      </c>
      <c r="E11" s="10" t="s">
        <v>108</v>
      </c>
      <c r="F11" s="10" t="s">
        <v>109</v>
      </c>
      <c r="G11" s="10" t="s">
        <v>110</v>
      </c>
      <c r="H11" s="10" t="s">
        <v>111</v>
      </c>
      <c r="I11" s="10" t="s">
        <v>112</v>
      </c>
      <c r="J11" s="10" t="s">
        <v>113</v>
      </c>
      <c r="K11" s="10" t="s">
        <v>114</v>
      </c>
      <c r="L11" s="10" t="s">
        <v>115</v>
      </c>
      <c r="M11" s="10" t="s">
        <v>116</v>
      </c>
      <c r="N11" s="12"/>
      <c r="O11" s="13">
        <v>0</v>
      </c>
      <c r="P11" s="14" t="e">
        <f t="shared" si="3"/>
        <v>#VALUE!</v>
      </c>
      <c r="Q11" s="12"/>
      <c r="R11" s="14" t="str">
        <f t="shared" si="1"/>
        <v>[Directness Level]=(0/10)</v>
      </c>
      <c r="S11" s="12"/>
      <c r="T11" s="14" t="str">
        <f t="shared" si="2"/>
        <v>[Directness Level]=</v>
      </c>
      <c r="U11" s="12"/>
      <c r="V11" s="15">
        <v>8</v>
      </c>
      <c r="W11" s="15">
        <v>8</v>
      </c>
      <c r="X11" s="15">
        <v>8</v>
      </c>
      <c r="Y11" s="15">
        <v>8</v>
      </c>
      <c r="Z11" s="15">
        <v>8</v>
      </c>
      <c r="AA11" s="16"/>
      <c r="AB11" s="12"/>
      <c r="AC11" s="12"/>
      <c r="AD11" s="12"/>
      <c r="AE11" s="12"/>
      <c r="AF11" s="12"/>
      <c r="AG11" s="12"/>
    </row>
    <row r="12" spans="1:33" ht="41.25" customHeight="1">
      <c r="A12" s="23"/>
      <c r="B12" s="24" t="s">
        <v>117</v>
      </c>
      <c r="C12" s="9" t="s">
        <v>15</v>
      </c>
      <c r="D12" s="10" t="s">
        <v>118</v>
      </c>
      <c r="E12" s="10" t="s">
        <v>119</v>
      </c>
      <c r="F12" s="10" t="s">
        <v>120</v>
      </c>
      <c r="G12" s="10" t="s">
        <v>121</v>
      </c>
      <c r="H12" s="10" t="s">
        <v>122</v>
      </c>
      <c r="I12" s="10" t="s">
        <v>123</v>
      </c>
      <c r="J12" s="10" t="s">
        <v>124</v>
      </c>
      <c r="K12" s="10" t="s">
        <v>125</v>
      </c>
      <c r="L12" s="10" t="s">
        <v>126</v>
      </c>
      <c r="M12" s="10" t="s">
        <v>127</v>
      </c>
      <c r="N12" s="12"/>
      <c r="O12" s="13">
        <v>0</v>
      </c>
      <c r="P12" s="14" t="e">
        <f t="shared" si="3"/>
        <v>#VALUE!</v>
      </c>
      <c r="Q12" s="12"/>
      <c r="R12" s="14" t="str">
        <f t="shared" si="1"/>
        <v>[Pacing]=(0/10)</v>
      </c>
      <c r="S12" s="12"/>
      <c r="T12" s="14" t="str">
        <f t="shared" si="2"/>
        <v>[Pacing]=</v>
      </c>
      <c r="U12" s="12"/>
      <c r="V12" s="15">
        <v>5</v>
      </c>
      <c r="W12" s="15">
        <v>5</v>
      </c>
      <c r="X12" s="15">
        <v>5</v>
      </c>
      <c r="Y12" s="15">
        <v>5</v>
      </c>
      <c r="Z12" s="15">
        <v>5</v>
      </c>
      <c r="AA12" s="16"/>
      <c r="AB12" s="12"/>
      <c r="AC12" s="12"/>
      <c r="AD12" s="12"/>
      <c r="AE12" s="12"/>
      <c r="AF12" s="12"/>
      <c r="AG12" s="12"/>
    </row>
    <row r="13" spans="1:33" ht="41.25" customHeight="1">
      <c r="A13" s="23"/>
      <c r="B13" s="24" t="s">
        <v>128</v>
      </c>
      <c r="C13" s="9" t="s">
        <v>129</v>
      </c>
      <c r="D13" s="10" t="s">
        <v>130</v>
      </c>
      <c r="E13" s="10" t="s">
        <v>131</v>
      </c>
      <c r="F13" s="10" t="s">
        <v>132</v>
      </c>
      <c r="G13" s="10" t="s">
        <v>133</v>
      </c>
      <c r="H13" s="10" t="s">
        <v>134</v>
      </c>
      <c r="I13" s="10" t="s">
        <v>135</v>
      </c>
      <c r="J13" s="10" t="s">
        <v>136</v>
      </c>
      <c r="K13" s="10" t="s">
        <v>137</v>
      </c>
      <c r="L13" s="10" t="s">
        <v>138</v>
      </c>
      <c r="M13" s="10" t="s">
        <v>139</v>
      </c>
      <c r="N13" s="12"/>
      <c r="O13" s="13">
        <v>0</v>
      </c>
      <c r="P13" s="14" t="e">
        <f t="shared" si="3"/>
        <v>#VALUE!</v>
      </c>
      <c r="Q13" s="12"/>
      <c r="R13" s="14" t="str">
        <f t="shared" si="1"/>
        <v>[Contextual Explanation]=(0/10)</v>
      </c>
      <c r="S13" s="12"/>
      <c r="T13" s="14" t="str">
        <f t="shared" si="2"/>
        <v>[Contextual Explanation]=</v>
      </c>
      <c r="U13" s="12"/>
      <c r="V13" s="15">
        <v>6</v>
      </c>
      <c r="W13" s="15">
        <v>6</v>
      </c>
      <c r="X13" s="15">
        <v>6</v>
      </c>
      <c r="Y13" s="15">
        <v>6</v>
      </c>
      <c r="Z13" s="15">
        <v>6</v>
      </c>
      <c r="AA13" s="16"/>
      <c r="AB13" s="12"/>
      <c r="AC13" s="12"/>
      <c r="AD13" s="12"/>
      <c r="AE13" s="12"/>
      <c r="AF13" s="12"/>
      <c r="AG13" s="12"/>
    </row>
    <row r="14" spans="1:33" ht="41.25" customHeight="1">
      <c r="A14" s="23"/>
      <c r="B14" s="24" t="s">
        <v>140</v>
      </c>
      <c r="C14" s="9" t="s">
        <v>27</v>
      </c>
      <c r="D14" s="10" t="s">
        <v>141</v>
      </c>
      <c r="E14" s="10" t="s">
        <v>142</v>
      </c>
      <c r="F14" s="10" t="s">
        <v>143</v>
      </c>
      <c r="G14" s="10" t="s">
        <v>144</v>
      </c>
      <c r="H14" s="10" t="s">
        <v>145</v>
      </c>
      <c r="I14" s="10" t="s">
        <v>146</v>
      </c>
      <c r="J14" s="10" t="s">
        <v>147</v>
      </c>
      <c r="K14" s="10" t="s">
        <v>148</v>
      </c>
      <c r="L14" s="10" t="s">
        <v>149</v>
      </c>
      <c r="M14" s="10" t="s">
        <v>150</v>
      </c>
      <c r="N14" s="12"/>
      <c r="O14" s="13">
        <v>0</v>
      </c>
      <c r="P14" s="14" t="e">
        <f t="shared" si="3"/>
        <v>#VALUE!</v>
      </c>
      <c r="Q14" s="12"/>
      <c r="R14" s="14" t="str">
        <f t="shared" si="1"/>
        <v>[Humor Level]=(0/10)</v>
      </c>
      <c r="S14" s="12"/>
      <c r="T14" s="14" t="str">
        <f t="shared" si="2"/>
        <v>[Humor Level]=</v>
      </c>
      <c r="U14" s="12"/>
      <c r="V14" s="15">
        <v>1</v>
      </c>
      <c r="W14" s="15">
        <v>1</v>
      </c>
      <c r="X14" s="15">
        <v>1</v>
      </c>
      <c r="Y14" s="15">
        <v>1</v>
      </c>
      <c r="Z14" s="15">
        <v>1</v>
      </c>
      <c r="AA14" s="16"/>
      <c r="AB14" s="12"/>
      <c r="AC14" s="12"/>
      <c r="AD14" s="12"/>
      <c r="AE14" s="12"/>
      <c r="AF14" s="12"/>
      <c r="AG14" s="12"/>
    </row>
    <row r="15" spans="1:33" ht="41.25" customHeight="1">
      <c r="A15" s="23"/>
      <c r="B15" s="24" t="s">
        <v>151</v>
      </c>
      <c r="C15" s="9" t="s">
        <v>152</v>
      </c>
      <c r="D15" s="10" t="s">
        <v>153</v>
      </c>
      <c r="E15" s="10" t="s">
        <v>154</v>
      </c>
      <c r="F15" s="10" t="s">
        <v>155</v>
      </c>
      <c r="G15" s="10" t="s">
        <v>156</v>
      </c>
      <c r="H15" s="10" t="s">
        <v>157</v>
      </c>
      <c r="I15" s="10" t="s">
        <v>158</v>
      </c>
      <c r="J15" s="10" t="s">
        <v>159</v>
      </c>
      <c r="K15" s="10" t="s">
        <v>160</v>
      </c>
      <c r="L15" s="10" t="s">
        <v>161</v>
      </c>
      <c r="M15" s="10" t="s">
        <v>162</v>
      </c>
      <c r="N15" s="12"/>
      <c r="O15" s="13">
        <v>0</v>
      </c>
      <c r="P15" s="14" t="e">
        <f t="shared" si="3"/>
        <v>#VALUE!</v>
      </c>
      <c r="Q15" s="12"/>
      <c r="R15" s="14" t="str">
        <f t="shared" si="1"/>
        <v>[Industry Jargon Use]=(0/10)</v>
      </c>
      <c r="S15" s="12"/>
      <c r="T15" s="14" t="str">
        <f t="shared" si="2"/>
        <v>[Industry Jargon Use]=</v>
      </c>
      <c r="U15" s="12"/>
      <c r="V15" s="15">
        <v>4</v>
      </c>
      <c r="W15" s="15">
        <v>4</v>
      </c>
      <c r="X15" s="15">
        <v>4</v>
      </c>
      <c r="Y15" s="15">
        <v>4</v>
      </c>
      <c r="Z15" s="15">
        <v>4</v>
      </c>
      <c r="AA15" s="16"/>
      <c r="AB15" s="12"/>
      <c r="AC15" s="12"/>
      <c r="AD15" s="12"/>
      <c r="AE15" s="12"/>
      <c r="AF15" s="12"/>
      <c r="AG15" s="12"/>
    </row>
    <row r="16" spans="1:33" ht="41.25" customHeight="1">
      <c r="A16" s="23"/>
      <c r="B16" s="24" t="s">
        <v>163</v>
      </c>
      <c r="C16" s="9" t="s">
        <v>164</v>
      </c>
      <c r="D16" s="10" t="s">
        <v>165</v>
      </c>
      <c r="E16" s="10" t="s">
        <v>166</v>
      </c>
      <c r="F16" s="10" t="s">
        <v>167</v>
      </c>
      <c r="G16" s="10" t="s">
        <v>168</v>
      </c>
      <c r="H16" s="10" t="s">
        <v>169</v>
      </c>
      <c r="I16" s="10" t="s">
        <v>170</v>
      </c>
      <c r="J16" s="10" t="s">
        <v>171</v>
      </c>
      <c r="K16" s="10" t="s">
        <v>172</v>
      </c>
      <c r="L16" s="10" t="s">
        <v>173</v>
      </c>
      <c r="M16" s="10" t="s">
        <v>174</v>
      </c>
      <c r="N16" s="12"/>
      <c r="O16" s="13">
        <v>0</v>
      </c>
      <c r="P16" s="14" t="e">
        <f t="shared" si="3"/>
        <v>#VALUE!</v>
      </c>
      <c r="Q16" s="12"/>
      <c r="R16" s="14" t="str">
        <f t="shared" si="1"/>
        <v>[Imagery Use]=(0/10)</v>
      </c>
      <c r="S16" s="12"/>
      <c r="T16" s="14" t="str">
        <f t="shared" si="2"/>
        <v>[Imagery Use]=</v>
      </c>
      <c r="U16" s="12"/>
      <c r="V16" s="15">
        <v>2</v>
      </c>
      <c r="W16" s="15">
        <v>2</v>
      </c>
      <c r="X16" s="15">
        <v>2</v>
      </c>
      <c r="Y16" s="15">
        <v>2</v>
      </c>
      <c r="Z16" s="15">
        <v>2</v>
      </c>
      <c r="AA16" s="16"/>
      <c r="AB16" s="12"/>
      <c r="AC16" s="12"/>
      <c r="AD16" s="12"/>
      <c r="AE16" s="12"/>
      <c r="AF16" s="12"/>
      <c r="AG16" s="12"/>
    </row>
    <row r="17" spans="1:33" ht="41.25" customHeight="1">
      <c r="A17" s="23"/>
      <c r="B17" s="24" t="s">
        <v>175</v>
      </c>
      <c r="C17" s="9" t="s">
        <v>164</v>
      </c>
      <c r="D17" s="10" t="s">
        <v>176</v>
      </c>
      <c r="E17" s="10" t="s">
        <v>177</v>
      </c>
      <c r="F17" s="10" t="s">
        <v>178</v>
      </c>
      <c r="G17" s="10" t="s">
        <v>179</v>
      </c>
      <c r="H17" s="10" t="s">
        <v>180</v>
      </c>
      <c r="I17" s="10" t="s">
        <v>181</v>
      </c>
      <c r="J17" s="10" t="s">
        <v>182</v>
      </c>
      <c r="K17" s="10" t="s">
        <v>183</v>
      </c>
      <c r="L17" s="10" t="s">
        <v>184</v>
      </c>
      <c r="M17" s="10" t="s">
        <v>185</v>
      </c>
      <c r="N17" s="12"/>
      <c r="O17" s="13">
        <v>0</v>
      </c>
      <c r="P17" s="14" t="e">
        <f t="shared" si="3"/>
        <v>#VALUE!</v>
      </c>
      <c r="Q17" s="12"/>
      <c r="R17" s="14" t="str">
        <f t="shared" si="1"/>
        <v>[Question Posing]=(0/10)</v>
      </c>
      <c r="S17" s="12"/>
      <c r="T17" s="14" t="str">
        <f t="shared" si="2"/>
        <v>[Question Posing]=</v>
      </c>
      <c r="U17" s="12"/>
      <c r="V17" s="15">
        <v>4</v>
      </c>
      <c r="W17" s="15">
        <v>4</v>
      </c>
      <c r="X17" s="15">
        <v>4</v>
      </c>
      <c r="Y17" s="15">
        <v>4</v>
      </c>
      <c r="Z17" s="15">
        <v>4</v>
      </c>
      <c r="AA17" s="16"/>
      <c r="AB17" s="12"/>
      <c r="AC17" s="12"/>
      <c r="AD17" s="12"/>
      <c r="AE17" s="12"/>
      <c r="AF17" s="12"/>
      <c r="AG17" s="12"/>
    </row>
    <row r="18" spans="1:33" ht="41.25" customHeight="1">
      <c r="A18" s="23"/>
      <c r="B18" s="24" t="s">
        <v>186</v>
      </c>
      <c r="C18" s="9" t="s">
        <v>50</v>
      </c>
      <c r="D18" s="10" t="s">
        <v>187</v>
      </c>
      <c r="E18" s="10" t="s">
        <v>188</v>
      </c>
      <c r="F18" s="10" t="s">
        <v>189</v>
      </c>
      <c r="G18" s="10" t="s">
        <v>190</v>
      </c>
      <c r="H18" s="10" t="s">
        <v>191</v>
      </c>
      <c r="I18" s="10" t="s">
        <v>192</v>
      </c>
      <c r="J18" s="10" t="s">
        <v>193</v>
      </c>
      <c r="K18" s="10" t="s">
        <v>194</v>
      </c>
      <c r="L18" s="10" t="s">
        <v>195</v>
      </c>
      <c r="M18" s="10" t="s">
        <v>196</v>
      </c>
      <c r="N18" s="12"/>
      <c r="O18" s="13">
        <v>0</v>
      </c>
      <c r="P18" s="14" t="e">
        <f t="shared" si="3"/>
        <v>#VALUE!</v>
      </c>
      <c r="Q18" s="12"/>
      <c r="R18" s="14" t="str">
        <f t="shared" si="1"/>
        <v>[Language Complexity]=(0/10)</v>
      </c>
      <c r="S18" s="12"/>
      <c r="T18" s="14" t="str">
        <f t="shared" si="2"/>
        <v>[Language Complexity]=</v>
      </c>
      <c r="U18" s="12"/>
      <c r="V18" s="15">
        <v>4</v>
      </c>
      <c r="W18" s="18">
        <v>2</v>
      </c>
      <c r="X18" s="13">
        <v>2</v>
      </c>
      <c r="Y18" s="13">
        <v>2</v>
      </c>
      <c r="Z18" s="13">
        <v>2</v>
      </c>
      <c r="AA18" s="16"/>
      <c r="AB18" s="12"/>
      <c r="AC18" s="12"/>
      <c r="AD18" s="12"/>
      <c r="AE18" s="12"/>
      <c r="AF18" s="12"/>
      <c r="AG18" s="12"/>
    </row>
    <row r="19" spans="1:33" ht="41.25" customHeight="1">
      <c r="A19" s="23"/>
      <c r="B19" s="24" t="s">
        <v>197</v>
      </c>
      <c r="C19" s="9" t="s">
        <v>27</v>
      </c>
      <c r="D19" s="10" t="s">
        <v>198</v>
      </c>
      <c r="E19" s="10" t="s">
        <v>199</v>
      </c>
      <c r="F19" s="10" t="s">
        <v>200</v>
      </c>
      <c r="G19" s="10" t="s">
        <v>201</v>
      </c>
      <c r="H19" s="10" t="s">
        <v>202</v>
      </c>
      <c r="I19" s="10" t="s">
        <v>203</v>
      </c>
      <c r="J19" s="10" t="s">
        <v>204</v>
      </c>
      <c r="K19" s="10" t="s">
        <v>205</v>
      </c>
      <c r="L19" s="10" t="s">
        <v>206</v>
      </c>
      <c r="M19" s="10" t="s">
        <v>207</v>
      </c>
      <c r="N19" s="12"/>
      <c r="O19" s="13">
        <v>0</v>
      </c>
      <c r="P19" s="14" t="e">
        <f t="shared" si="3"/>
        <v>#VALUE!</v>
      </c>
      <c r="Q19" s="12"/>
      <c r="R19" s="14" t="str">
        <f t="shared" si="1"/>
        <v>[Dimensional Language Use]=(0/10)</v>
      </c>
      <c r="S19" s="12"/>
      <c r="T19" s="14" t="str">
        <f t="shared" si="2"/>
        <v>[Dimensional Language Use]=</v>
      </c>
      <c r="U19" s="12"/>
      <c r="V19" s="15">
        <v>3</v>
      </c>
      <c r="W19" s="15">
        <v>3</v>
      </c>
      <c r="X19" s="15">
        <v>3</v>
      </c>
      <c r="Y19" s="15">
        <v>3</v>
      </c>
      <c r="Z19" s="15">
        <v>3</v>
      </c>
      <c r="AA19" s="16"/>
      <c r="AB19" s="12"/>
      <c r="AC19" s="12"/>
      <c r="AD19" s="12"/>
      <c r="AE19" s="12"/>
      <c r="AF19" s="12"/>
      <c r="AG19" s="12"/>
    </row>
    <row r="20" spans="1:33" ht="41.25" customHeight="1">
      <c r="A20" s="23"/>
      <c r="B20" s="24" t="s">
        <v>208</v>
      </c>
      <c r="C20" s="9" t="s">
        <v>27</v>
      </c>
      <c r="D20" s="10" t="s">
        <v>209</v>
      </c>
      <c r="E20" s="10" t="s">
        <v>210</v>
      </c>
      <c r="F20" s="10" t="s">
        <v>211</v>
      </c>
      <c r="G20" s="10" t="s">
        <v>212</v>
      </c>
      <c r="H20" s="10" t="s">
        <v>213</v>
      </c>
      <c r="I20" s="10" t="s">
        <v>214</v>
      </c>
      <c r="J20" s="10" t="s">
        <v>215</v>
      </c>
      <c r="K20" s="10" t="s">
        <v>216</v>
      </c>
      <c r="L20" s="10" t="s">
        <v>217</v>
      </c>
      <c r="M20" s="10" t="s">
        <v>218</v>
      </c>
      <c r="N20" s="12"/>
      <c r="O20" s="13">
        <v>0</v>
      </c>
      <c r="P20" s="14" t="e">
        <f t="shared" si="3"/>
        <v>#VALUE!</v>
      </c>
      <c r="Q20" s="12"/>
      <c r="R20" s="14" t="str">
        <f t="shared" si="1"/>
        <v>[Visceral Language Use]=(0/10)</v>
      </c>
      <c r="S20" s="12"/>
      <c r="T20" s="14" t="str">
        <f t="shared" si="2"/>
        <v>[Visceral Language Use]=</v>
      </c>
      <c r="U20" s="12"/>
      <c r="V20" s="15">
        <v>2</v>
      </c>
      <c r="W20" s="15">
        <v>2</v>
      </c>
      <c r="X20" s="15">
        <v>2</v>
      </c>
      <c r="Y20" s="15">
        <v>2</v>
      </c>
      <c r="Z20" s="15">
        <v>2</v>
      </c>
      <c r="AA20" s="16"/>
      <c r="AB20" s="12"/>
      <c r="AC20" s="12"/>
      <c r="AD20" s="12"/>
      <c r="AE20" s="12"/>
      <c r="AF20" s="12"/>
      <c r="AG20" s="12"/>
    </row>
    <row r="21" spans="1:33" ht="41.25" customHeight="1">
      <c r="A21" s="23"/>
      <c r="B21" s="24" t="s">
        <v>219</v>
      </c>
      <c r="C21" s="9" t="s">
        <v>152</v>
      </c>
      <c r="D21" s="10" t="s">
        <v>220</v>
      </c>
      <c r="E21" s="10" t="s">
        <v>221</v>
      </c>
      <c r="F21" s="10" t="s">
        <v>222</v>
      </c>
      <c r="G21" s="10" t="s">
        <v>223</v>
      </c>
      <c r="H21" s="10" t="s">
        <v>224</v>
      </c>
      <c r="I21" s="10" t="s">
        <v>225</v>
      </c>
      <c r="J21" s="10" t="s">
        <v>226</v>
      </c>
      <c r="K21" s="10" t="s">
        <v>227</v>
      </c>
      <c r="L21" s="10" t="s">
        <v>228</v>
      </c>
      <c r="M21" s="10" t="s">
        <v>229</v>
      </c>
      <c r="N21" s="12"/>
      <c r="O21" s="13">
        <v>0</v>
      </c>
      <c r="P21" s="14" t="e">
        <f t="shared" si="3"/>
        <v>#VALUE!</v>
      </c>
      <c r="Q21" s="12"/>
      <c r="R21" s="14" t="str">
        <f t="shared" si="1"/>
        <v>[Hyperbole Use]=(0/10)</v>
      </c>
      <c r="S21" s="12"/>
      <c r="T21" s="14" t="str">
        <f t="shared" si="2"/>
        <v>[Hyperbole Use]=</v>
      </c>
      <c r="U21" s="12"/>
      <c r="V21" s="15">
        <v>1</v>
      </c>
      <c r="W21" s="15">
        <v>1</v>
      </c>
      <c r="X21" s="15">
        <v>1</v>
      </c>
      <c r="Y21" s="15">
        <v>1</v>
      </c>
      <c r="Z21" s="15">
        <v>1</v>
      </c>
      <c r="AA21" s="16"/>
      <c r="AB21" s="12"/>
      <c r="AC21" s="12"/>
      <c r="AD21" s="12"/>
      <c r="AE21" s="12"/>
      <c r="AF21" s="12"/>
      <c r="AG21" s="12"/>
    </row>
    <row r="22" spans="1:33" ht="41.25" customHeight="1">
      <c r="A22" s="23"/>
      <c r="B22" s="24" t="s">
        <v>230</v>
      </c>
      <c r="C22" s="9" t="s">
        <v>152</v>
      </c>
      <c r="D22" s="10" t="s">
        <v>231</v>
      </c>
      <c r="E22" s="10" t="s">
        <v>232</v>
      </c>
      <c r="F22" s="10" t="s">
        <v>233</v>
      </c>
      <c r="G22" s="10" t="s">
        <v>234</v>
      </c>
      <c r="H22" s="10" t="s">
        <v>235</v>
      </c>
      <c r="I22" s="10" t="s">
        <v>236</v>
      </c>
      <c r="J22" s="10" t="s">
        <v>237</v>
      </c>
      <c r="K22" s="10" t="s">
        <v>238</v>
      </c>
      <c r="L22" s="10" t="s">
        <v>239</v>
      </c>
      <c r="M22" s="10" t="s">
        <v>240</v>
      </c>
      <c r="N22" s="12"/>
      <c r="O22" s="13">
        <v>0</v>
      </c>
      <c r="P22" s="14" t="e">
        <f t="shared" si="3"/>
        <v>#VALUE!</v>
      </c>
      <c r="Q22" s="12"/>
      <c r="R22" s="14" t="str">
        <f t="shared" si="1"/>
        <v>[Rhetorical Device Use]=(0/10)</v>
      </c>
      <c r="S22" s="12"/>
      <c r="T22" s="14" t="str">
        <f t="shared" si="2"/>
        <v>[Rhetorical Device Use]=</v>
      </c>
      <c r="U22" s="12"/>
      <c r="V22" s="15">
        <v>3</v>
      </c>
      <c r="W22" s="15">
        <v>3</v>
      </c>
      <c r="X22" s="15">
        <v>3</v>
      </c>
      <c r="Y22" s="15">
        <v>3</v>
      </c>
      <c r="Z22" s="15">
        <v>3</v>
      </c>
      <c r="AA22" s="16"/>
      <c r="AB22" s="12"/>
      <c r="AC22" s="12"/>
      <c r="AD22" s="12"/>
      <c r="AE22" s="12"/>
      <c r="AF22" s="12"/>
      <c r="AG22" s="12"/>
    </row>
    <row r="23" spans="1:33" ht="41.25" customHeight="1">
      <c r="A23" s="23"/>
      <c r="B23" s="24" t="s">
        <v>241</v>
      </c>
      <c r="C23" s="9" t="s">
        <v>50</v>
      </c>
      <c r="D23" s="10" t="s">
        <v>242</v>
      </c>
      <c r="E23" s="10" t="s">
        <v>243</v>
      </c>
      <c r="F23" s="10" t="s">
        <v>244</v>
      </c>
      <c r="G23" s="10" t="s">
        <v>245</v>
      </c>
      <c r="H23" s="10" t="s">
        <v>246</v>
      </c>
      <c r="I23" s="10" t="s">
        <v>247</v>
      </c>
      <c r="J23" s="10" t="s">
        <v>248</v>
      </c>
      <c r="K23" s="10" t="s">
        <v>249</v>
      </c>
      <c r="L23" s="10" t="s">
        <v>250</v>
      </c>
      <c r="M23" s="10" t="s">
        <v>251</v>
      </c>
      <c r="N23" s="12"/>
      <c r="O23" s="13">
        <v>0</v>
      </c>
      <c r="P23" s="14" t="e">
        <f t="shared" si="3"/>
        <v>#VALUE!</v>
      </c>
      <c r="Q23" s="12"/>
      <c r="R23" s="14" t="str">
        <f t="shared" si="1"/>
        <v>[Transition Smoothness]=(0/10)</v>
      </c>
      <c r="S23" s="12"/>
      <c r="T23" s="14" t="str">
        <f t="shared" si="2"/>
        <v>[Transition Smoothness]=</v>
      </c>
      <c r="U23" s="12"/>
      <c r="V23" s="15">
        <v>7</v>
      </c>
      <c r="W23" s="15">
        <v>7</v>
      </c>
      <c r="X23" s="15">
        <v>7</v>
      </c>
      <c r="Y23" s="15">
        <v>7</v>
      </c>
      <c r="Z23" s="15">
        <v>7</v>
      </c>
      <c r="AA23" s="16"/>
      <c r="AB23" s="12"/>
      <c r="AC23" s="12"/>
      <c r="AD23" s="12"/>
      <c r="AE23" s="12"/>
      <c r="AF23" s="12"/>
      <c r="AG23" s="12"/>
    </row>
    <row r="24" spans="1:33" ht="41.25" customHeight="1">
      <c r="A24" s="23"/>
      <c r="B24" s="24" t="s">
        <v>252</v>
      </c>
      <c r="C24" s="9" t="s">
        <v>15</v>
      </c>
      <c r="D24" s="10" t="s">
        <v>253</v>
      </c>
      <c r="E24" s="10" t="s">
        <v>254</v>
      </c>
      <c r="F24" s="10" t="s">
        <v>255</v>
      </c>
      <c r="G24" s="10" t="s">
        <v>256</v>
      </c>
      <c r="H24" s="10" t="s">
        <v>257</v>
      </c>
      <c r="I24" s="10" t="s">
        <v>258</v>
      </c>
      <c r="J24" s="10" t="s">
        <v>259</v>
      </c>
      <c r="K24" s="10" t="s">
        <v>260</v>
      </c>
      <c r="L24" s="10" t="s">
        <v>261</v>
      </c>
      <c r="M24" s="10" t="s">
        <v>262</v>
      </c>
      <c r="N24" s="12"/>
      <c r="O24" s="13">
        <v>0</v>
      </c>
      <c r="P24" s="14" t="e">
        <f t="shared" si="3"/>
        <v>#VALUE!</v>
      </c>
      <c r="Q24" s="12"/>
      <c r="R24" s="14" t="str">
        <f t="shared" si="1"/>
        <v>[Argument Development Depth]=(0/10)</v>
      </c>
      <c r="S24" s="12"/>
      <c r="T24" s="14" t="str">
        <f t="shared" si="2"/>
        <v>[Argument Development Depth]=</v>
      </c>
      <c r="U24" s="12"/>
      <c r="V24" s="15">
        <v>5</v>
      </c>
      <c r="W24" s="15">
        <v>5</v>
      </c>
      <c r="X24" s="15">
        <v>5</v>
      </c>
      <c r="Y24" s="15">
        <v>5</v>
      </c>
      <c r="Z24" s="15">
        <v>5</v>
      </c>
      <c r="AA24" s="16"/>
      <c r="AB24" s="12"/>
      <c r="AC24" s="12"/>
      <c r="AD24" s="12"/>
      <c r="AE24" s="12"/>
      <c r="AF24" s="12"/>
      <c r="AG24" s="12"/>
    </row>
    <row r="25" spans="1:33" ht="41.25" customHeight="1">
      <c r="A25" s="23"/>
      <c r="B25" s="24" t="s">
        <v>263</v>
      </c>
      <c r="C25" s="9" t="s">
        <v>15</v>
      </c>
      <c r="D25" s="10" t="s">
        <v>264</v>
      </c>
      <c r="E25" s="10" t="s">
        <v>265</v>
      </c>
      <c r="F25" s="10" t="s">
        <v>266</v>
      </c>
      <c r="G25" s="10" t="s">
        <v>267</v>
      </c>
      <c r="H25" s="10" t="s">
        <v>268</v>
      </c>
      <c r="I25" s="10" t="s">
        <v>269</v>
      </c>
      <c r="J25" s="10" t="s">
        <v>270</v>
      </c>
      <c r="K25" s="10" t="s">
        <v>271</v>
      </c>
      <c r="L25" s="10" t="s">
        <v>272</v>
      </c>
      <c r="M25" s="10" t="s">
        <v>273</v>
      </c>
      <c r="N25" s="12"/>
      <c r="O25" s="13">
        <v>0</v>
      </c>
      <c r="P25" s="14" t="e">
        <f t="shared" si="3"/>
        <v>#VALUE!</v>
      </c>
      <c r="Q25" s="12"/>
      <c r="R25" s="14" t="str">
        <f t="shared" si="1"/>
        <v>[Direct Address Intensity]=(0/10)</v>
      </c>
      <c r="S25" s="12"/>
      <c r="T25" s="14" t="str">
        <f t="shared" si="2"/>
        <v>[Direct Address Intensity]=</v>
      </c>
      <c r="U25" s="12"/>
      <c r="V25" s="15">
        <v>6</v>
      </c>
      <c r="W25" s="15">
        <v>6</v>
      </c>
      <c r="X25" s="15">
        <v>6</v>
      </c>
      <c r="Y25" s="15">
        <v>6</v>
      </c>
      <c r="Z25" s="15">
        <v>6</v>
      </c>
      <c r="AA25" s="16"/>
      <c r="AB25" s="12"/>
      <c r="AC25" s="12"/>
      <c r="AD25" s="12"/>
      <c r="AE25" s="12"/>
      <c r="AF25" s="12"/>
      <c r="AG25" s="12"/>
    </row>
    <row r="26" spans="1:33" ht="41.25" customHeight="1">
      <c r="A26" s="23"/>
      <c r="B26" s="24" t="s">
        <v>274</v>
      </c>
      <c r="C26" s="9" t="s">
        <v>15</v>
      </c>
      <c r="D26" s="10" t="s">
        <v>275</v>
      </c>
      <c r="E26" s="10" t="s">
        <v>276</v>
      </c>
      <c r="F26" s="10" t="s">
        <v>277</v>
      </c>
      <c r="G26" s="10" t="s">
        <v>278</v>
      </c>
      <c r="H26" s="10" t="s">
        <v>279</v>
      </c>
      <c r="I26" s="10" t="s">
        <v>280</v>
      </c>
      <c r="J26" s="10" t="s">
        <v>281</v>
      </c>
      <c r="K26" s="10" t="s">
        <v>282</v>
      </c>
      <c r="L26" s="10" t="s">
        <v>283</v>
      </c>
      <c r="M26" s="10" t="s">
        <v>284</v>
      </c>
      <c r="N26" s="12"/>
      <c r="O26" s="13">
        <v>0</v>
      </c>
      <c r="P26" s="14" t="e">
        <f t="shared" si="3"/>
        <v>#VALUE!</v>
      </c>
      <c r="Q26" s="12"/>
      <c r="R26" s="14" t="str">
        <f t="shared" si="1"/>
        <v>[Problem Identification Clarity]=(0/10)</v>
      </c>
      <c r="S26" s="12"/>
      <c r="T26" s="14" t="str">
        <f t="shared" si="2"/>
        <v>[Problem Identification Clarity]=</v>
      </c>
      <c r="U26" s="12"/>
      <c r="V26" s="15">
        <v>7</v>
      </c>
      <c r="W26" s="15">
        <v>7</v>
      </c>
      <c r="X26" s="15">
        <v>7</v>
      </c>
      <c r="Y26" s="15">
        <v>7</v>
      </c>
      <c r="Z26" s="15">
        <v>7</v>
      </c>
      <c r="AA26" s="16"/>
      <c r="AB26" s="12"/>
      <c r="AC26" s="12"/>
      <c r="AD26" s="12"/>
      <c r="AE26" s="12"/>
      <c r="AF26" s="12"/>
      <c r="AG26" s="12"/>
    </row>
    <row r="27" spans="1:33" ht="41.25" customHeight="1">
      <c r="A27" s="23"/>
      <c r="B27" s="24" t="s">
        <v>285</v>
      </c>
      <c r="C27" s="9" t="s">
        <v>15</v>
      </c>
      <c r="D27" s="10" t="s">
        <v>286</v>
      </c>
      <c r="E27" s="10" t="s">
        <v>287</v>
      </c>
      <c r="F27" s="10" t="s">
        <v>288</v>
      </c>
      <c r="G27" s="10" t="s">
        <v>289</v>
      </c>
      <c r="H27" s="10" t="s">
        <v>290</v>
      </c>
      <c r="I27" s="10" t="s">
        <v>291</v>
      </c>
      <c r="J27" s="10" t="s">
        <v>292</v>
      </c>
      <c r="K27" s="10" t="s">
        <v>293</v>
      </c>
      <c r="L27" s="10" t="s">
        <v>294</v>
      </c>
      <c r="M27" s="10" t="s">
        <v>295</v>
      </c>
      <c r="N27" s="12"/>
      <c r="O27" s="13">
        <v>0</v>
      </c>
      <c r="P27" s="14" t="e">
        <f t="shared" si="3"/>
        <v>#VALUE!</v>
      </c>
      <c r="Q27" s="12"/>
      <c r="R27" s="14" t="str">
        <f t="shared" si="1"/>
        <v>[Solution Presentation Alignment]=(0/10)</v>
      </c>
      <c r="S27" s="12"/>
      <c r="T27" s="14" t="str">
        <f t="shared" si="2"/>
        <v>[Solution Presentation Alignment]=</v>
      </c>
      <c r="U27" s="12"/>
      <c r="V27" s="15">
        <v>8</v>
      </c>
      <c r="W27" s="15">
        <v>8</v>
      </c>
      <c r="X27" s="15">
        <v>8</v>
      </c>
      <c r="Y27" s="15">
        <v>8</v>
      </c>
      <c r="Z27" s="15">
        <v>8</v>
      </c>
      <c r="AA27" s="16"/>
      <c r="AB27" s="12"/>
      <c r="AC27" s="12"/>
      <c r="AD27" s="12"/>
      <c r="AE27" s="12"/>
      <c r="AF27" s="12"/>
      <c r="AG27" s="12"/>
    </row>
    <row r="28" spans="1:33" ht="41.25" customHeight="1">
      <c r="A28" s="23"/>
      <c r="B28" s="24" t="s">
        <v>296</v>
      </c>
      <c r="C28" s="9" t="s">
        <v>129</v>
      </c>
      <c r="D28" s="10" t="s">
        <v>297</v>
      </c>
      <c r="E28" s="10" t="s">
        <v>298</v>
      </c>
      <c r="F28" s="10" t="s">
        <v>299</v>
      </c>
      <c r="G28" s="10" t="s">
        <v>300</v>
      </c>
      <c r="H28" s="10" t="s">
        <v>301</v>
      </c>
      <c r="I28" s="10" t="s">
        <v>302</v>
      </c>
      <c r="J28" s="10" t="s">
        <v>303</v>
      </c>
      <c r="K28" s="10" t="s">
        <v>304</v>
      </c>
      <c r="L28" s="10" t="s">
        <v>305</v>
      </c>
      <c r="M28" s="10" t="s">
        <v>306</v>
      </c>
      <c r="N28" s="12"/>
      <c r="O28" s="13">
        <v>0</v>
      </c>
      <c r="P28" s="14" t="e">
        <f t="shared" si="3"/>
        <v>#VALUE!</v>
      </c>
      <c r="Q28" s="12"/>
      <c r="R28" s="14" t="str">
        <f t="shared" si="1"/>
        <v>[Call to Action (CTA) Strength]=(0/10)</v>
      </c>
      <c r="S28" s="12"/>
      <c r="T28" s="14" t="str">
        <f t="shared" si="2"/>
        <v>[Call to Action (CTA) Strength]=</v>
      </c>
      <c r="U28" s="16"/>
      <c r="V28" s="15">
        <v>7</v>
      </c>
      <c r="W28" s="15">
        <v>7</v>
      </c>
      <c r="X28" s="15">
        <v>7</v>
      </c>
      <c r="Y28" s="15">
        <v>7</v>
      </c>
      <c r="Z28" s="15">
        <v>7</v>
      </c>
      <c r="AA28" s="16"/>
      <c r="AB28" s="12"/>
      <c r="AC28" s="12"/>
      <c r="AD28" s="12"/>
      <c r="AE28" s="12"/>
      <c r="AF28" s="12"/>
      <c r="AG28" s="12"/>
    </row>
    <row r="29" spans="1:33" ht="41.25" customHeight="1">
      <c r="A29" s="23"/>
      <c r="B29" s="24" t="s">
        <v>307</v>
      </c>
      <c r="C29" s="9" t="s">
        <v>129</v>
      </c>
      <c r="D29" s="10" t="s">
        <v>308</v>
      </c>
      <c r="E29" s="10" t="s">
        <v>309</v>
      </c>
      <c r="F29" s="10" t="s">
        <v>310</v>
      </c>
      <c r="G29" s="10" t="s">
        <v>311</v>
      </c>
      <c r="H29" s="10" t="s">
        <v>312</v>
      </c>
      <c r="I29" s="10" t="s">
        <v>313</v>
      </c>
      <c r="J29" s="10" t="s">
        <v>314</v>
      </c>
      <c r="K29" s="10" t="s">
        <v>315</v>
      </c>
      <c r="L29" s="10" t="s">
        <v>316</v>
      </c>
      <c r="M29" s="10" t="s">
        <v>317</v>
      </c>
      <c r="N29" s="12"/>
      <c r="O29" s="13">
        <v>0</v>
      </c>
      <c r="P29" s="14" t="e">
        <f t="shared" si="3"/>
        <v>#VALUE!</v>
      </c>
      <c r="Q29" s="12"/>
      <c r="R29" s="14" t="str">
        <f t="shared" si="1"/>
        <v>[Data-Driven Level]=(0/10)</v>
      </c>
      <c r="S29" s="12"/>
      <c r="T29" s="14" t="str">
        <f t="shared" si="2"/>
        <v>[Data-Driven Level]=</v>
      </c>
      <c r="U29" s="12"/>
      <c r="V29" s="15">
        <v>3</v>
      </c>
      <c r="W29" s="15">
        <v>3</v>
      </c>
      <c r="X29" s="15">
        <v>3</v>
      </c>
      <c r="Y29" s="15">
        <v>3</v>
      </c>
      <c r="Z29" s="15">
        <v>3</v>
      </c>
      <c r="AA29" s="16"/>
      <c r="AB29" s="12"/>
      <c r="AC29" s="12"/>
      <c r="AD29" s="12"/>
      <c r="AE29" s="12"/>
      <c r="AF29" s="12"/>
      <c r="AG29" s="12"/>
    </row>
    <row r="30" spans="1:33" ht="41.25" customHeight="1">
      <c r="A30" s="23"/>
      <c r="B30" s="24" t="s">
        <v>318</v>
      </c>
      <c r="C30" s="9" t="s">
        <v>129</v>
      </c>
      <c r="D30" s="10" t="s">
        <v>319</v>
      </c>
      <c r="E30" s="10" t="s">
        <v>320</v>
      </c>
      <c r="F30" s="10" t="s">
        <v>321</v>
      </c>
      <c r="G30" s="10" t="s">
        <v>322</v>
      </c>
      <c r="H30" s="10" t="s">
        <v>323</v>
      </c>
      <c r="I30" s="10" t="s">
        <v>324</v>
      </c>
      <c r="J30" s="10" t="s">
        <v>325</v>
      </c>
      <c r="K30" s="10" t="s">
        <v>326</v>
      </c>
      <c r="L30" s="10" t="s">
        <v>327</v>
      </c>
      <c r="M30" s="10" t="s">
        <v>328</v>
      </c>
      <c r="N30" s="12"/>
      <c r="O30" s="13">
        <v>0</v>
      </c>
      <c r="P30" s="14" t="e">
        <f t="shared" si="3"/>
        <v>#VALUE!</v>
      </c>
      <c r="Q30" s="12"/>
      <c r="R30" s="14" t="str">
        <f t="shared" si="1"/>
        <v>[Educational Content Level]=(0/10)</v>
      </c>
      <c r="S30" s="12"/>
      <c r="T30" s="14" t="str">
        <f t="shared" si="2"/>
        <v>[Educational Content Level]=</v>
      </c>
      <c r="U30" s="12"/>
      <c r="V30" s="15">
        <v>9</v>
      </c>
      <c r="W30" s="15">
        <v>9</v>
      </c>
      <c r="X30" s="15">
        <v>9</v>
      </c>
      <c r="Y30" s="15">
        <v>9</v>
      </c>
      <c r="Z30" s="15">
        <v>9</v>
      </c>
      <c r="AA30" s="16"/>
      <c r="AB30" s="12"/>
      <c r="AC30" s="12"/>
      <c r="AD30" s="12"/>
      <c r="AE30" s="12"/>
      <c r="AF30" s="12"/>
      <c r="AG30" s="12"/>
    </row>
    <row r="31" spans="1:33" ht="41.25" customHeight="1">
      <c r="A31" s="23"/>
      <c r="B31" s="24" t="s">
        <v>329</v>
      </c>
      <c r="C31" s="9" t="s">
        <v>129</v>
      </c>
      <c r="D31" s="10" t="s">
        <v>330</v>
      </c>
      <c r="E31" s="10" t="s">
        <v>331</v>
      </c>
      <c r="F31" s="10" t="s">
        <v>332</v>
      </c>
      <c r="G31" s="10" t="s">
        <v>333</v>
      </c>
      <c r="H31" s="10" t="s">
        <v>334</v>
      </c>
      <c r="I31" s="10" t="s">
        <v>335</v>
      </c>
      <c r="J31" s="10" t="s">
        <v>336</v>
      </c>
      <c r="K31" s="10" t="s">
        <v>337</v>
      </c>
      <c r="L31" s="10" t="s">
        <v>338</v>
      </c>
      <c r="M31" s="10" t="s">
        <v>339</v>
      </c>
      <c r="N31" s="12"/>
      <c r="O31" s="13">
        <v>0</v>
      </c>
      <c r="P31" s="14" t="e">
        <f t="shared" si="3"/>
        <v>#VALUE!</v>
      </c>
      <c r="Q31" s="12"/>
      <c r="R31" s="14" t="str">
        <f t="shared" si="1"/>
        <v>[Evidence &amp; Example Use]=(0/10)</v>
      </c>
      <c r="S31" s="12"/>
      <c r="T31" s="14" t="str">
        <f t="shared" si="2"/>
        <v>[Evidence &amp; Example Use]=</v>
      </c>
      <c r="U31" s="12"/>
      <c r="V31" s="15">
        <v>4</v>
      </c>
      <c r="W31" s="15">
        <v>4</v>
      </c>
      <c r="X31" s="15">
        <v>4</v>
      </c>
      <c r="Y31" s="15">
        <v>4</v>
      </c>
      <c r="Z31" s="15">
        <v>4</v>
      </c>
      <c r="AA31" s="16"/>
      <c r="AB31" s="12"/>
      <c r="AC31" s="12"/>
      <c r="AD31" s="12"/>
      <c r="AE31" s="12"/>
      <c r="AF31" s="12"/>
      <c r="AG31" s="12"/>
    </row>
    <row r="32" spans="1:33" ht="41.25" customHeight="1">
      <c r="A32" s="23"/>
      <c r="B32" s="24" t="s">
        <v>340</v>
      </c>
      <c r="C32" s="9" t="s">
        <v>129</v>
      </c>
      <c r="D32" s="10" t="s">
        <v>341</v>
      </c>
      <c r="E32" s="10" t="s">
        <v>342</v>
      </c>
      <c r="F32" s="10" t="s">
        <v>343</v>
      </c>
      <c r="G32" s="10" t="s">
        <v>344</v>
      </c>
      <c r="H32" s="10" t="s">
        <v>345</v>
      </c>
      <c r="I32" s="10" t="s">
        <v>346</v>
      </c>
      <c r="J32" s="10" t="s">
        <v>347</v>
      </c>
      <c r="K32" s="10" t="s">
        <v>348</v>
      </c>
      <c r="L32" s="10" t="s">
        <v>349</v>
      </c>
      <c r="M32" s="10" t="s">
        <v>350</v>
      </c>
      <c r="N32" s="12"/>
      <c r="O32" s="13">
        <v>0</v>
      </c>
      <c r="P32" s="14" t="e">
        <f t="shared" si="3"/>
        <v>#VALUE!</v>
      </c>
      <c r="Q32" s="12"/>
      <c r="R32" s="14" t="str">
        <f t="shared" si="1"/>
        <v>[Historical Context Level]=(0/10)</v>
      </c>
      <c r="S32" s="12"/>
      <c r="T32" s="14" t="str">
        <f t="shared" si="2"/>
        <v>[Historical Context Level]=</v>
      </c>
      <c r="U32" s="12"/>
      <c r="V32" s="15">
        <v>2</v>
      </c>
      <c r="W32" s="15">
        <v>2</v>
      </c>
      <c r="X32" s="15">
        <v>2</v>
      </c>
      <c r="Y32" s="15">
        <v>2</v>
      </c>
      <c r="Z32" s="15">
        <v>2</v>
      </c>
      <c r="AA32" s="16"/>
      <c r="AB32" s="12"/>
      <c r="AC32" s="12"/>
      <c r="AD32" s="12"/>
      <c r="AE32" s="12"/>
      <c r="AF32" s="12"/>
      <c r="AG32" s="12"/>
    </row>
    <row r="33" spans="1:33" ht="41.25" customHeight="1">
      <c r="A33" s="23"/>
      <c r="B33" s="24" t="s">
        <v>351</v>
      </c>
      <c r="C33" s="9" t="s">
        <v>129</v>
      </c>
      <c r="D33" s="10" t="s">
        <v>352</v>
      </c>
      <c r="E33" s="10" t="s">
        <v>353</v>
      </c>
      <c r="F33" s="10" t="s">
        <v>354</v>
      </c>
      <c r="G33" s="10" t="s">
        <v>355</v>
      </c>
      <c r="H33" s="10" t="s">
        <v>356</v>
      </c>
      <c r="I33" s="10" t="s">
        <v>357</v>
      </c>
      <c r="J33" s="10" t="s">
        <v>358</v>
      </c>
      <c r="K33" s="10" t="s">
        <v>359</v>
      </c>
      <c r="L33" s="10" t="s">
        <v>360</v>
      </c>
      <c r="M33" s="10" t="s">
        <v>361</v>
      </c>
      <c r="N33" s="12"/>
      <c r="O33" s="13">
        <v>0</v>
      </c>
      <c r="P33" s="14" t="e">
        <f t="shared" si="3"/>
        <v>#VALUE!</v>
      </c>
      <c r="Q33" s="12"/>
      <c r="R33" s="14" t="str">
        <f t="shared" si="1"/>
        <v>[Interactive Level]=(0/10)</v>
      </c>
      <c r="S33" s="12"/>
      <c r="T33" s="14" t="str">
        <f t="shared" si="2"/>
        <v>[Interactive Level]=</v>
      </c>
      <c r="U33" s="12"/>
      <c r="V33" s="15">
        <v>6</v>
      </c>
      <c r="W33" s="15">
        <v>6</v>
      </c>
      <c r="X33" s="15">
        <v>6</v>
      </c>
      <c r="Y33" s="15">
        <v>6</v>
      </c>
      <c r="Z33" s="15">
        <v>6</v>
      </c>
      <c r="AA33" s="16"/>
      <c r="AB33" s="12"/>
      <c r="AC33" s="12"/>
      <c r="AD33" s="12"/>
      <c r="AE33" s="12"/>
      <c r="AF33" s="12"/>
      <c r="AG33" s="12"/>
    </row>
    <row r="34" spans="1:33" ht="41.25" customHeight="1">
      <c r="A34" s="23"/>
      <c r="B34" s="24" t="s">
        <v>362</v>
      </c>
      <c r="C34" s="19" t="s">
        <v>27</v>
      </c>
      <c r="D34" s="10" t="s">
        <v>363</v>
      </c>
      <c r="E34" s="10" t="s">
        <v>364</v>
      </c>
      <c r="F34" s="10" t="s">
        <v>365</v>
      </c>
      <c r="G34" s="10" t="s">
        <v>366</v>
      </c>
      <c r="H34" s="10" t="s">
        <v>367</v>
      </c>
      <c r="I34" s="10" t="s">
        <v>368</v>
      </c>
      <c r="J34" s="10" t="s">
        <v>369</v>
      </c>
      <c r="K34" s="10" t="s">
        <v>370</v>
      </c>
      <c r="L34" s="10" t="s">
        <v>371</v>
      </c>
      <c r="M34" s="10" t="s">
        <v>372</v>
      </c>
      <c r="N34" s="20"/>
      <c r="O34" s="13">
        <v>0</v>
      </c>
      <c r="P34" s="14" t="e">
        <f t="shared" si="3"/>
        <v>#VALUE!</v>
      </c>
      <c r="Q34" s="12"/>
      <c r="R34" s="14" t="str">
        <f t="shared" si="1"/>
        <v>[Confidence Building]=(0/10)</v>
      </c>
      <c r="S34" s="12"/>
      <c r="T34" s="14" t="str">
        <f t="shared" si="2"/>
        <v>[Confidence Building]=</v>
      </c>
      <c r="U34" s="14"/>
      <c r="V34" s="15"/>
      <c r="W34" s="15"/>
      <c r="X34" s="15"/>
      <c r="Y34" s="15"/>
      <c r="Z34" s="15"/>
      <c r="AA34" s="16"/>
      <c r="AB34" s="12"/>
      <c r="AC34" s="12"/>
      <c r="AD34" s="12"/>
      <c r="AE34" s="12"/>
      <c r="AF34" s="12"/>
      <c r="AG34" s="12"/>
    </row>
    <row r="35" spans="1:33" ht="41.25" customHeight="1">
      <c r="A35" s="23"/>
      <c r="B35" s="24" t="s">
        <v>373</v>
      </c>
      <c r="C35" s="9" t="s">
        <v>27</v>
      </c>
      <c r="D35" s="10" t="s">
        <v>374</v>
      </c>
      <c r="E35" s="10" t="s">
        <v>375</v>
      </c>
      <c r="F35" s="10" t="s">
        <v>376</v>
      </c>
      <c r="G35" s="10" t="s">
        <v>377</v>
      </c>
      <c r="H35" s="10" t="s">
        <v>378</v>
      </c>
      <c r="I35" s="10" t="s">
        <v>379</v>
      </c>
      <c r="J35" s="10" t="s">
        <v>380</v>
      </c>
      <c r="K35" s="10" t="s">
        <v>381</v>
      </c>
      <c r="L35" s="10" t="s">
        <v>382</v>
      </c>
      <c r="M35" s="10" t="s">
        <v>383</v>
      </c>
      <c r="N35" s="12"/>
      <c r="O35" s="13">
        <v>0</v>
      </c>
      <c r="P35" s="14" t="e">
        <f t="shared" si="3"/>
        <v>#VALUE!</v>
      </c>
      <c r="Q35" s="12"/>
      <c r="R35" s="14" t="str">
        <f t="shared" si="1"/>
        <v>[Emotional Storytelling Level]=(0/10)</v>
      </c>
      <c r="S35" s="12"/>
      <c r="T35" s="14" t="str">
        <f t="shared" si="2"/>
        <v>[Emotional Storytelling Level]=</v>
      </c>
      <c r="U35" s="12"/>
      <c r="V35" s="15">
        <v>1</v>
      </c>
      <c r="W35" s="15">
        <v>1</v>
      </c>
      <c r="X35" s="15">
        <v>1</v>
      </c>
      <c r="Y35" s="15">
        <v>1</v>
      </c>
      <c r="Z35" s="15">
        <v>1</v>
      </c>
      <c r="AA35" s="16"/>
      <c r="AB35" s="12"/>
      <c r="AC35" s="12"/>
      <c r="AD35" s="12"/>
      <c r="AE35" s="12"/>
      <c r="AF35" s="12"/>
      <c r="AG35" s="12"/>
    </row>
    <row r="36" spans="1:33" ht="41.25" customHeight="1">
      <c r="A36" s="23"/>
      <c r="B36" s="24" t="s">
        <v>384</v>
      </c>
      <c r="C36" s="19" t="s">
        <v>27</v>
      </c>
      <c r="D36" s="10" t="s">
        <v>385</v>
      </c>
      <c r="E36" s="10" t="s">
        <v>386</v>
      </c>
      <c r="F36" s="10" t="s">
        <v>387</v>
      </c>
      <c r="G36" s="10" t="s">
        <v>388</v>
      </c>
      <c r="H36" s="10" t="s">
        <v>389</v>
      </c>
      <c r="I36" s="10" t="s">
        <v>390</v>
      </c>
      <c r="J36" s="10" t="s">
        <v>391</v>
      </c>
      <c r="K36" s="10" t="s">
        <v>392</v>
      </c>
      <c r="L36" s="10" t="s">
        <v>393</v>
      </c>
      <c r="M36" s="10" t="s">
        <v>394</v>
      </c>
      <c r="N36" s="20"/>
      <c r="O36" s="13">
        <v>0</v>
      </c>
      <c r="P36" s="14" t="e">
        <f t="shared" si="3"/>
        <v>#VALUE!</v>
      </c>
      <c r="Q36" s="14"/>
      <c r="R36" s="14" t="str">
        <f t="shared" si="1"/>
        <v>[Emphasis and Highlighting]=(0/10)</v>
      </c>
      <c r="S36" s="14"/>
      <c r="T36" s="14" t="str">
        <f t="shared" si="2"/>
        <v>[Emphasis and Highlighting]=</v>
      </c>
      <c r="U36" s="14"/>
      <c r="V36" s="15">
        <v>5</v>
      </c>
      <c r="W36" s="15">
        <v>5</v>
      </c>
      <c r="X36" s="15">
        <v>5</v>
      </c>
      <c r="Y36" s="15">
        <v>5</v>
      </c>
      <c r="Z36" s="15">
        <v>5</v>
      </c>
      <c r="AA36" s="16"/>
      <c r="AB36" s="12"/>
      <c r="AC36" s="12"/>
      <c r="AD36" s="12"/>
      <c r="AE36" s="12"/>
      <c r="AF36" s="12"/>
      <c r="AG36" s="12"/>
    </row>
    <row r="37" spans="1:33" ht="41.25" customHeight="1">
      <c r="A37" s="23"/>
      <c r="B37" s="24" t="s">
        <v>395</v>
      </c>
      <c r="C37" s="9" t="s">
        <v>27</v>
      </c>
      <c r="D37" s="10" t="s">
        <v>396</v>
      </c>
      <c r="E37" s="10" t="s">
        <v>397</v>
      </c>
      <c r="F37" s="10" t="s">
        <v>398</v>
      </c>
      <c r="G37" s="10" t="s">
        <v>399</v>
      </c>
      <c r="H37" s="10" t="s">
        <v>400</v>
      </c>
      <c r="I37" s="10" t="s">
        <v>401</v>
      </c>
      <c r="J37" s="10" t="s">
        <v>402</v>
      </c>
      <c r="K37" s="10" t="s">
        <v>403</v>
      </c>
      <c r="L37" s="10" t="s">
        <v>404</v>
      </c>
      <c r="M37" s="10" t="s">
        <v>405</v>
      </c>
      <c r="N37" s="12"/>
      <c r="O37" s="13">
        <v>0</v>
      </c>
      <c r="P37" s="14" t="e">
        <f t="shared" si="3"/>
        <v>#VALUE!</v>
      </c>
      <c r="Q37" s="12"/>
      <c r="R37" s="14" t="str">
        <f t="shared" si="1"/>
        <v>[Engagement Level]=(0/10)</v>
      </c>
      <c r="S37" s="12"/>
      <c r="T37" s="14" t="str">
        <f t="shared" si="2"/>
        <v>[Engagement Level]=</v>
      </c>
      <c r="U37" s="12"/>
      <c r="V37" s="15">
        <v>7</v>
      </c>
      <c r="W37" s="15">
        <v>7</v>
      </c>
      <c r="X37" s="15">
        <v>7</v>
      </c>
      <c r="Y37" s="15">
        <v>7</v>
      </c>
      <c r="Z37" s="15">
        <v>7</v>
      </c>
      <c r="AA37" s="16"/>
      <c r="AB37" s="12"/>
      <c r="AC37" s="12"/>
      <c r="AD37" s="12"/>
      <c r="AE37" s="12"/>
      <c r="AF37" s="12"/>
      <c r="AG37" s="12"/>
    </row>
    <row r="38" spans="1:33" ht="41.25" customHeight="1">
      <c r="A38" s="23"/>
      <c r="B38" s="24" t="s">
        <v>406</v>
      </c>
      <c r="C38" s="9" t="s">
        <v>407</v>
      </c>
      <c r="D38" s="10" t="s">
        <v>408</v>
      </c>
      <c r="E38" s="10" t="s">
        <v>409</v>
      </c>
      <c r="F38" s="10" t="s">
        <v>410</v>
      </c>
      <c r="G38" s="10" t="s">
        <v>411</v>
      </c>
      <c r="H38" s="10" t="s">
        <v>412</v>
      </c>
      <c r="I38" s="10" t="s">
        <v>413</v>
      </c>
      <c r="J38" s="10" t="s">
        <v>414</v>
      </c>
      <c r="K38" s="10" t="s">
        <v>415</v>
      </c>
      <c r="L38" s="10" t="s">
        <v>416</v>
      </c>
      <c r="M38" s="10" t="s">
        <v>417</v>
      </c>
      <c r="N38" s="12"/>
      <c r="O38" s="13">
        <v>0</v>
      </c>
      <c r="P38" s="14" t="e">
        <f t="shared" si="3"/>
        <v>#VALUE!</v>
      </c>
      <c r="Q38" s="12"/>
      <c r="R38" s="14" t="str">
        <f t="shared" si="1"/>
        <v>[Personalization Level]=(0/10)</v>
      </c>
      <c r="S38" s="12"/>
      <c r="T38" s="14" t="str">
        <f t="shared" si="2"/>
        <v>[Personalization Level]=</v>
      </c>
      <c r="U38" s="12"/>
      <c r="V38" s="15">
        <v>5</v>
      </c>
      <c r="W38" s="15">
        <v>5</v>
      </c>
      <c r="X38" s="15">
        <v>5</v>
      </c>
      <c r="Y38" s="15">
        <v>5</v>
      </c>
      <c r="Z38" s="15">
        <v>5</v>
      </c>
      <c r="AA38" s="16"/>
      <c r="AB38" s="12"/>
      <c r="AC38" s="12"/>
      <c r="AD38" s="12"/>
      <c r="AE38" s="12"/>
      <c r="AF38" s="12"/>
      <c r="AG38" s="12"/>
    </row>
    <row r="39" spans="1:33" ht="41.25" customHeight="1">
      <c r="A39" s="23"/>
      <c r="B39" s="24" t="s">
        <v>418</v>
      </c>
      <c r="C39" s="9" t="s">
        <v>407</v>
      </c>
      <c r="D39" s="10" t="s">
        <v>419</v>
      </c>
      <c r="E39" s="10" t="s">
        <v>420</v>
      </c>
      <c r="F39" s="10" t="s">
        <v>421</v>
      </c>
      <c r="G39" s="10" t="s">
        <v>422</v>
      </c>
      <c r="H39" s="10" t="s">
        <v>423</v>
      </c>
      <c r="I39" s="10" t="s">
        <v>424</v>
      </c>
      <c r="J39" s="10" t="s">
        <v>425</v>
      </c>
      <c r="K39" s="10" t="s">
        <v>426</v>
      </c>
      <c r="L39" s="10" t="s">
        <v>427</v>
      </c>
      <c r="M39" s="10" t="s">
        <v>428</v>
      </c>
      <c r="N39" s="12"/>
      <c r="O39" s="13">
        <v>0</v>
      </c>
      <c r="P39" s="14" t="e">
        <f t="shared" si="3"/>
        <v>#VALUE!</v>
      </c>
      <c r="Q39" s="12"/>
      <c r="R39" s="14" t="str">
        <f t="shared" si="1"/>
        <v>[Tone Consistency]=(0/10)</v>
      </c>
      <c r="S39" s="12"/>
      <c r="T39" s="14" t="str">
        <f t="shared" si="2"/>
        <v>[Tone Consistency]=</v>
      </c>
      <c r="U39" s="12"/>
      <c r="V39" s="15">
        <v>8</v>
      </c>
      <c r="W39" s="15">
        <v>8</v>
      </c>
      <c r="X39" s="15">
        <v>8</v>
      </c>
      <c r="Y39" s="15">
        <v>8</v>
      </c>
      <c r="Z39" s="15">
        <v>8</v>
      </c>
      <c r="AA39" s="16"/>
      <c r="AB39" s="12"/>
      <c r="AC39" s="12"/>
      <c r="AD39" s="12"/>
      <c r="AE39" s="12"/>
      <c r="AF39" s="12"/>
      <c r="AG39" s="12"/>
    </row>
    <row r="40" spans="1:33" ht="41.25" customHeight="1">
      <c r="A40" s="23"/>
      <c r="B40" s="24" t="s">
        <v>429</v>
      </c>
      <c r="C40" s="9" t="s">
        <v>152</v>
      </c>
      <c r="D40" s="10" t="s">
        <v>430</v>
      </c>
      <c r="E40" s="10" t="s">
        <v>431</v>
      </c>
      <c r="F40" s="10" t="s">
        <v>432</v>
      </c>
      <c r="G40" s="10" t="s">
        <v>433</v>
      </c>
      <c r="H40" s="10" t="s">
        <v>434</v>
      </c>
      <c r="I40" s="10" t="s">
        <v>435</v>
      </c>
      <c r="J40" s="10" t="s">
        <v>436</v>
      </c>
      <c r="K40" s="10" t="s">
        <v>437</v>
      </c>
      <c r="L40" s="10" t="s">
        <v>438</v>
      </c>
      <c r="M40" s="10" t="s">
        <v>439</v>
      </c>
      <c r="N40" s="12"/>
      <c r="O40" s="13">
        <v>0</v>
      </c>
      <c r="P40" s="14" t="e">
        <f t="shared" si="3"/>
        <v>#VALUE!</v>
      </c>
      <c r="Q40" s="12"/>
      <c r="R40" s="14" t="str">
        <f t="shared" si="1"/>
        <v>[Controversy Level]=(0/10)</v>
      </c>
      <c r="S40" s="12"/>
      <c r="T40" s="14" t="str">
        <f t="shared" si="2"/>
        <v>[Controversy Level]=</v>
      </c>
      <c r="U40" s="12"/>
      <c r="V40" s="15">
        <v>1</v>
      </c>
      <c r="W40" s="15">
        <v>1</v>
      </c>
      <c r="X40" s="15">
        <v>1</v>
      </c>
      <c r="Y40" s="15">
        <v>1</v>
      </c>
      <c r="Z40" s="15">
        <v>1</v>
      </c>
      <c r="AA40" s="16"/>
      <c r="AB40" s="12"/>
      <c r="AC40" s="12"/>
      <c r="AD40" s="12"/>
      <c r="AE40" s="12"/>
      <c r="AF40" s="12"/>
      <c r="AG40" s="12"/>
    </row>
    <row r="41" spans="1:33" ht="41.25" customHeight="1">
      <c r="A41" s="23"/>
      <c r="B41" s="24" t="s">
        <v>440</v>
      </c>
      <c r="C41" s="9" t="s">
        <v>152</v>
      </c>
      <c r="D41" s="10" t="s">
        <v>441</v>
      </c>
      <c r="E41" s="10" t="s">
        <v>442</v>
      </c>
      <c r="F41" s="10" t="s">
        <v>443</v>
      </c>
      <c r="G41" s="10" t="s">
        <v>444</v>
      </c>
      <c r="H41" s="10" t="s">
        <v>445</v>
      </c>
      <c r="I41" s="10" t="s">
        <v>446</v>
      </c>
      <c r="J41" s="10" t="s">
        <v>447</v>
      </c>
      <c r="K41" s="10" t="s">
        <v>448</v>
      </c>
      <c r="L41" s="10" t="s">
        <v>449</v>
      </c>
      <c r="M41" s="10" t="s">
        <v>450</v>
      </c>
      <c r="N41" s="12"/>
      <c r="O41" s="13">
        <v>0</v>
      </c>
      <c r="P41" s="14" t="e">
        <f t="shared" si="3"/>
        <v>#VALUE!</v>
      </c>
      <c r="Q41" s="12"/>
      <c r="R41" s="14" t="str">
        <f t="shared" si="1"/>
        <v>[Meta-Communication Level]=(0/10)</v>
      </c>
      <c r="S41" s="12"/>
      <c r="T41" s="14" t="str">
        <f t="shared" si="2"/>
        <v>[Meta-Communication Level]=</v>
      </c>
      <c r="U41" s="12"/>
      <c r="V41" s="15">
        <v>2</v>
      </c>
      <c r="W41" s="15">
        <v>2</v>
      </c>
      <c r="X41" s="15">
        <v>2</v>
      </c>
      <c r="Y41" s="15">
        <v>2</v>
      </c>
      <c r="Z41" s="15">
        <v>2</v>
      </c>
      <c r="AA41" s="16"/>
      <c r="AB41" s="12"/>
      <c r="AC41" s="12"/>
      <c r="AD41" s="12"/>
      <c r="AE41" s="12"/>
      <c r="AF41" s="12"/>
      <c r="AG41" s="12"/>
    </row>
    <row r="42" spans="1:33" ht="41.25" customHeight="1">
      <c r="A42" s="23"/>
      <c r="B42" s="24" t="s">
        <v>451</v>
      </c>
      <c r="C42" s="9" t="s">
        <v>152</v>
      </c>
      <c r="D42" s="10" t="s">
        <v>452</v>
      </c>
      <c r="E42" s="10" t="s">
        <v>453</v>
      </c>
      <c r="F42" s="10" t="s">
        <v>454</v>
      </c>
      <c r="G42" s="10" t="s">
        <v>455</v>
      </c>
      <c r="H42" s="10" t="s">
        <v>456</v>
      </c>
      <c r="I42" s="10" t="s">
        <v>457</v>
      </c>
      <c r="J42" s="10" t="s">
        <v>458</v>
      </c>
      <c r="K42" s="10" t="s">
        <v>459</v>
      </c>
      <c r="L42" s="10" t="s">
        <v>460</v>
      </c>
      <c r="M42" s="10" t="s">
        <v>461</v>
      </c>
      <c r="N42" s="12"/>
      <c r="O42" s="13">
        <v>0</v>
      </c>
      <c r="P42" s="14" t="e">
        <f t="shared" si="3"/>
        <v>#VALUE!</v>
      </c>
      <c r="Q42" s="12"/>
      <c r="R42" s="14" t="str">
        <f t="shared" si="1"/>
        <v>[Redundancy Level]=(0/10)</v>
      </c>
      <c r="S42" s="12"/>
      <c r="T42" s="14" t="str">
        <f t="shared" si="2"/>
        <v>[Redundancy Level]=</v>
      </c>
      <c r="U42" s="12"/>
      <c r="V42" s="15">
        <v>2</v>
      </c>
      <c r="W42" s="15">
        <v>2</v>
      </c>
      <c r="X42" s="15">
        <v>2</v>
      </c>
      <c r="Y42" s="15">
        <v>2</v>
      </c>
      <c r="Z42" s="15">
        <v>2</v>
      </c>
      <c r="AA42" s="16"/>
      <c r="AB42" s="12"/>
      <c r="AC42" s="12"/>
      <c r="AD42" s="12"/>
      <c r="AE42" s="12"/>
      <c r="AF42" s="12"/>
      <c r="AG42" s="12"/>
    </row>
    <row r="43" spans="1:33" ht="41.25" customHeight="1">
      <c r="A43" s="23"/>
      <c r="B43" s="24" t="s">
        <v>462</v>
      </c>
      <c r="C43" s="9" t="s">
        <v>152</v>
      </c>
      <c r="D43" s="10" t="s">
        <v>463</v>
      </c>
      <c r="E43" s="10" t="s">
        <v>464</v>
      </c>
      <c r="F43" s="10" t="s">
        <v>465</v>
      </c>
      <c r="G43" s="10" t="s">
        <v>466</v>
      </c>
      <c r="H43" s="10" t="s">
        <v>467</v>
      </c>
      <c r="I43" s="10" t="s">
        <v>468</v>
      </c>
      <c r="J43" s="10" t="s">
        <v>469</v>
      </c>
      <c r="K43" s="10" t="s">
        <v>470</v>
      </c>
      <c r="L43" s="10" t="s">
        <v>471</v>
      </c>
      <c r="M43" s="10" t="s">
        <v>472</v>
      </c>
      <c r="N43" s="12"/>
      <c r="O43" s="13">
        <v>0</v>
      </c>
      <c r="P43" s="14" t="e">
        <f t="shared" si="3"/>
        <v>#VALUE!</v>
      </c>
      <c r="Q43" s="12"/>
      <c r="R43" s="14" t="str">
        <f t="shared" si="1"/>
        <v>[Relevance]=(0/10)</v>
      </c>
      <c r="S43" s="12"/>
      <c r="T43" s="14" t="str">
        <f t="shared" si="2"/>
        <v>[Relevance]=</v>
      </c>
      <c r="U43" s="12"/>
      <c r="V43" s="15">
        <v>8</v>
      </c>
      <c r="W43" s="15">
        <v>8</v>
      </c>
      <c r="X43" s="15">
        <v>8</v>
      </c>
      <c r="Y43" s="15">
        <v>8</v>
      </c>
      <c r="Z43" s="15">
        <v>8</v>
      </c>
      <c r="AA43" s="16"/>
      <c r="AB43" s="12"/>
      <c r="AC43" s="12"/>
      <c r="AD43" s="12"/>
      <c r="AE43" s="12"/>
      <c r="AF43" s="12"/>
      <c r="AG43" s="12"/>
    </row>
    <row r="44" spans="1:33" ht="41.25" customHeight="1">
      <c r="A44" s="23"/>
      <c r="B44" s="24" t="s">
        <v>473</v>
      </c>
      <c r="C44" s="9" t="s">
        <v>152</v>
      </c>
      <c r="D44" s="10" t="s">
        <v>474</v>
      </c>
      <c r="E44" s="10" t="s">
        <v>475</v>
      </c>
      <c r="F44" s="10" t="s">
        <v>476</v>
      </c>
      <c r="G44" s="10" t="s">
        <v>477</v>
      </c>
      <c r="H44" s="10" t="s">
        <v>478</v>
      </c>
      <c r="I44" s="10" t="s">
        <v>479</v>
      </c>
      <c r="J44" s="10" t="s">
        <v>480</v>
      </c>
      <c r="K44" s="10" t="s">
        <v>481</v>
      </c>
      <c r="L44" s="10" t="s">
        <v>482</v>
      </c>
      <c r="M44" s="10" t="s">
        <v>483</v>
      </c>
      <c r="N44" s="12"/>
      <c r="O44" s="13">
        <v>0</v>
      </c>
      <c r="P44" s="14" t="e">
        <f t="shared" si="3"/>
        <v>#VALUE!</v>
      </c>
      <c r="Q44" s="12"/>
      <c r="R44" s="14" t="str">
        <f t="shared" si="1"/>
        <v>[Strategic Level]=(0/10)</v>
      </c>
      <c r="S44" s="12"/>
      <c r="T44" s="14" t="str">
        <f t="shared" si="2"/>
        <v>[Strategic Level]=</v>
      </c>
      <c r="U44" s="12"/>
      <c r="V44" s="15">
        <v>7</v>
      </c>
      <c r="W44" s="15">
        <v>7</v>
      </c>
      <c r="X44" s="15">
        <v>7</v>
      </c>
      <c r="Y44" s="15">
        <v>7</v>
      </c>
      <c r="Z44" s="15">
        <v>7</v>
      </c>
      <c r="AA44" s="16"/>
      <c r="AB44" s="12"/>
      <c r="AC44" s="12"/>
      <c r="AD44" s="12"/>
      <c r="AE44" s="12"/>
      <c r="AF44" s="12"/>
      <c r="AG44" s="12"/>
    </row>
    <row r="45" spans="1:33" ht="41.25" customHeight="1">
      <c r="A45" s="23"/>
      <c r="B45" s="24" t="s">
        <v>484</v>
      </c>
      <c r="C45" s="9" t="s">
        <v>164</v>
      </c>
      <c r="D45" s="10" t="s">
        <v>485</v>
      </c>
      <c r="E45" s="10" t="s">
        <v>486</v>
      </c>
      <c r="F45" s="10" t="s">
        <v>487</v>
      </c>
      <c r="G45" s="10" t="s">
        <v>488</v>
      </c>
      <c r="H45" s="10" t="s">
        <v>489</v>
      </c>
      <c r="I45" s="10" t="s">
        <v>490</v>
      </c>
      <c r="J45" s="10" t="s">
        <v>491</v>
      </c>
      <c r="K45" s="10" t="s">
        <v>492</v>
      </c>
      <c r="L45" s="10" t="s">
        <v>493</v>
      </c>
      <c r="M45" s="10" t="s">
        <v>494</v>
      </c>
      <c r="N45" s="12"/>
      <c r="O45" s="13">
        <v>0</v>
      </c>
      <c r="P45" s="14" t="e">
        <f t="shared" si="3"/>
        <v>#VALUE!</v>
      </c>
      <c r="Q45" s="12"/>
      <c r="R45" s="14" t="str">
        <f t="shared" si="1"/>
        <v>[Hook Level]=(0/10)</v>
      </c>
      <c r="S45" s="12"/>
      <c r="T45" s="14" t="str">
        <f t="shared" si="2"/>
        <v>[Hook Level]=</v>
      </c>
      <c r="U45" s="12"/>
      <c r="V45" s="15">
        <v>6</v>
      </c>
      <c r="W45" s="15">
        <v>6</v>
      </c>
      <c r="X45" s="15">
        <v>6</v>
      </c>
      <c r="Y45" s="15">
        <v>6</v>
      </c>
      <c r="Z45" s="15">
        <v>6</v>
      </c>
      <c r="AA45" s="16"/>
      <c r="AB45" s="12"/>
      <c r="AC45" s="12"/>
      <c r="AD45" s="12"/>
      <c r="AE45" s="12"/>
      <c r="AF45" s="12"/>
      <c r="AG45" s="12"/>
    </row>
    <row r="46" spans="1:33" ht="41.25" customHeight="1">
      <c r="A46" s="23"/>
      <c r="B46" s="24" t="s">
        <v>495</v>
      </c>
      <c r="C46" s="9" t="s">
        <v>164</v>
      </c>
      <c r="D46" s="10" t="s">
        <v>496</v>
      </c>
      <c r="E46" s="10" t="s">
        <v>497</v>
      </c>
      <c r="F46" s="10" t="s">
        <v>498</v>
      </c>
      <c r="G46" s="10" t="s">
        <v>499</v>
      </c>
      <c r="H46" s="10" t="s">
        <v>500</v>
      </c>
      <c r="I46" s="10" t="s">
        <v>501</v>
      </c>
      <c r="J46" s="10" t="s">
        <v>502</v>
      </c>
      <c r="K46" s="10" t="s">
        <v>503</v>
      </c>
      <c r="L46" s="10" t="s">
        <v>504</v>
      </c>
      <c r="M46" s="10" t="s">
        <v>505</v>
      </c>
      <c r="N46" s="12"/>
      <c r="O46" s="13">
        <v>0</v>
      </c>
      <c r="P46" s="14" t="e">
        <f t="shared" si="3"/>
        <v>#VALUE!</v>
      </c>
      <c r="Q46" s="12"/>
      <c r="R46" s="14" t="str">
        <f t="shared" si="1"/>
        <v>[Introduction Engagement Level]=(0/10)</v>
      </c>
      <c r="S46" s="12"/>
      <c r="T46" s="14" t="str">
        <f t="shared" si="2"/>
        <v>[Introduction Engagement Level]=</v>
      </c>
      <c r="U46" s="12"/>
      <c r="V46" s="15">
        <v>6</v>
      </c>
      <c r="W46" s="15">
        <v>6</v>
      </c>
      <c r="X46" s="15">
        <v>6</v>
      </c>
      <c r="Y46" s="15">
        <v>6</v>
      </c>
      <c r="Z46" s="15">
        <v>6</v>
      </c>
      <c r="AA46" s="16"/>
      <c r="AB46" s="12"/>
      <c r="AC46" s="12"/>
      <c r="AD46" s="12"/>
      <c r="AE46" s="12"/>
      <c r="AF46" s="12"/>
      <c r="AG46" s="12"/>
    </row>
    <row r="47" spans="1:33" ht="41.25" customHeight="1">
      <c r="A47" s="23"/>
      <c r="B47" s="24" t="s">
        <v>506</v>
      </c>
      <c r="C47" s="9" t="s">
        <v>164</v>
      </c>
      <c r="D47" s="10" t="s">
        <v>507</v>
      </c>
      <c r="E47" s="10" t="s">
        <v>508</v>
      </c>
      <c r="F47" s="10" t="s">
        <v>509</v>
      </c>
      <c r="G47" s="10" t="s">
        <v>510</v>
      </c>
      <c r="H47" s="10" t="s">
        <v>511</v>
      </c>
      <c r="I47" s="10" t="s">
        <v>512</v>
      </c>
      <c r="J47" s="10" t="s">
        <v>513</v>
      </c>
      <c r="K47" s="10" t="s">
        <v>514</v>
      </c>
      <c r="L47" s="10" t="s">
        <v>515</v>
      </c>
      <c r="M47" s="10" t="s">
        <v>516</v>
      </c>
      <c r="N47" s="12"/>
      <c r="O47" s="13">
        <v>0</v>
      </c>
      <c r="P47" s="14" t="e">
        <f t="shared" si="3"/>
        <v>#VALUE!</v>
      </c>
      <c r="Q47" s="12"/>
      <c r="R47" s="14" t="str">
        <f t="shared" si="1"/>
        <v>[Narrative Flow]=(0/10)</v>
      </c>
      <c r="S47" s="12"/>
      <c r="T47" s="14" t="str">
        <f t="shared" si="2"/>
        <v>[Narrative Flow]=</v>
      </c>
      <c r="U47" s="12"/>
      <c r="V47" s="15">
        <v>7</v>
      </c>
      <c r="W47" s="15">
        <v>7</v>
      </c>
      <c r="X47" s="13">
        <v>9</v>
      </c>
      <c r="Y47" s="13">
        <v>9</v>
      </c>
      <c r="Z47" s="13">
        <v>8</v>
      </c>
      <c r="AA47" s="16"/>
      <c r="AB47" s="12"/>
      <c r="AC47" s="12"/>
      <c r="AD47" s="12"/>
      <c r="AE47" s="12"/>
      <c r="AF47" s="12"/>
      <c r="AG47" s="12"/>
    </row>
    <row r="48" spans="1:33" ht="41.25" customHeight="1">
      <c r="A48" s="23"/>
      <c r="B48" s="24" t="s">
        <v>517</v>
      </c>
      <c r="C48" s="19" t="s">
        <v>164</v>
      </c>
      <c r="D48" s="10" t="s">
        <v>518</v>
      </c>
      <c r="E48" s="10" t="s">
        <v>519</v>
      </c>
      <c r="F48" s="10" t="s">
        <v>520</v>
      </c>
      <c r="G48" s="10" t="s">
        <v>521</v>
      </c>
      <c r="H48" s="10" t="s">
        <v>522</v>
      </c>
      <c r="I48" s="10" t="s">
        <v>523</v>
      </c>
      <c r="J48" s="10" t="s">
        <v>524</v>
      </c>
      <c r="K48" s="10" t="s">
        <v>525</v>
      </c>
      <c r="L48" s="10" t="s">
        <v>526</v>
      </c>
      <c r="M48" s="10" t="s">
        <v>527</v>
      </c>
      <c r="N48" s="20"/>
      <c r="O48" s="13">
        <v>0</v>
      </c>
      <c r="P48" s="14" t="e">
        <f t="shared" si="3"/>
        <v>#VALUE!</v>
      </c>
      <c r="Q48" s="14"/>
      <c r="R48" s="14" t="str">
        <f t="shared" si="1"/>
        <v>[Narrative Momentum]=(0/10)</v>
      </c>
      <c r="S48" s="14"/>
      <c r="T48" s="14" t="str">
        <f t="shared" si="2"/>
        <v>[Narrative Momentum]=</v>
      </c>
      <c r="U48" s="14"/>
      <c r="V48" s="15">
        <v>4</v>
      </c>
      <c r="W48" s="15">
        <v>4</v>
      </c>
      <c r="X48" s="15">
        <v>4</v>
      </c>
      <c r="Y48" s="15">
        <v>4</v>
      </c>
      <c r="Z48" s="15">
        <v>4</v>
      </c>
      <c r="AA48" s="16"/>
      <c r="AB48" s="12"/>
      <c r="AC48" s="12"/>
      <c r="AD48" s="12"/>
      <c r="AE48" s="12"/>
      <c r="AF48" s="12"/>
      <c r="AG48" s="12"/>
    </row>
    <row r="49" spans="1:33" ht="41.25" customHeight="1">
      <c r="A49" s="23"/>
      <c r="B49" s="24" t="s">
        <v>528</v>
      </c>
      <c r="C49" s="9" t="s">
        <v>164</v>
      </c>
      <c r="D49" s="10" t="s">
        <v>529</v>
      </c>
      <c r="E49" s="10" t="s">
        <v>530</v>
      </c>
      <c r="F49" s="10" t="s">
        <v>531</v>
      </c>
      <c r="G49" s="10" t="s">
        <v>532</v>
      </c>
      <c r="H49" s="10" t="s">
        <v>533</v>
      </c>
      <c r="I49" s="10" t="s">
        <v>534</v>
      </c>
      <c r="J49" s="10" t="s">
        <v>535</v>
      </c>
      <c r="K49" s="10" t="s">
        <v>536</v>
      </c>
      <c r="L49" s="10" t="s">
        <v>537</v>
      </c>
      <c r="M49" s="10" t="s">
        <v>538</v>
      </c>
      <c r="N49" s="12"/>
      <c r="O49" s="13">
        <v>0</v>
      </c>
      <c r="P49" s="14" t="e">
        <f t="shared" si="3"/>
        <v>#VALUE!</v>
      </c>
      <c r="Q49" s="12"/>
      <c r="R49" s="14" t="str">
        <f t="shared" si="1"/>
        <v>[Persuasiveness]=(0/10)</v>
      </c>
      <c r="S49" s="12"/>
      <c r="T49" s="14" t="str">
        <f t="shared" si="2"/>
        <v>[Persuasiveness]=</v>
      </c>
      <c r="U49" s="12"/>
      <c r="V49" s="15">
        <v>7</v>
      </c>
      <c r="W49" s="15">
        <v>7</v>
      </c>
      <c r="X49" s="15">
        <v>7</v>
      </c>
      <c r="Y49" s="15">
        <v>7</v>
      </c>
      <c r="Z49" s="15">
        <v>7</v>
      </c>
      <c r="AA49" s="16"/>
      <c r="AB49" s="12"/>
      <c r="AC49" s="12"/>
      <c r="AD49" s="12"/>
      <c r="AE49" s="12"/>
      <c r="AF49" s="12"/>
      <c r="AG49" s="12"/>
    </row>
    <row r="50" spans="1:33" ht="41.25" customHeight="1">
      <c r="A50" s="23"/>
      <c r="B50" s="24" t="s">
        <v>539</v>
      </c>
      <c r="C50" s="9" t="s">
        <v>164</v>
      </c>
      <c r="D50" s="10" t="s">
        <v>540</v>
      </c>
      <c r="E50" s="10" t="s">
        <v>541</v>
      </c>
      <c r="F50" s="10" t="s">
        <v>542</v>
      </c>
      <c r="G50" s="10" t="s">
        <v>543</v>
      </c>
      <c r="H50" s="10" t="s">
        <v>544</v>
      </c>
      <c r="I50" s="10" t="s">
        <v>545</v>
      </c>
      <c r="J50" s="10" t="s">
        <v>546</v>
      </c>
      <c r="K50" s="10" t="s">
        <v>547</v>
      </c>
      <c r="L50" s="10" t="s">
        <v>548</v>
      </c>
      <c r="M50" s="10" t="s">
        <v>549</v>
      </c>
      <c r="N50" s="12"/>
      <c r="O50" s="13">
        <v>0</v>
      </c>
      <c r="P50" s="14" t="e">
        <f t="shared" si="3"/>
        <v>#VALUE!</v>
      </c>
      <c r="Q50" s="12"/>
      <c r="R50" s="14" t="str">
        <f t="shared" si="1"/>
        <v>[Suspense Building]=(0/10)</v>
      </c>
      <c r="S50" s="12"/>
      <c r="T50" s="14" t="str">
        <f t="shared" si="2"/>
        <v>[Suspense Building]=</v>
      </c>
      <c r="U50" s="12"/>
      <c r="V50" s="15">
        <v>2</v>
      </c>
      <c r="W50" s="15">
        <v>2</v>
      </c>
      <c r="X50" s="15">
        <v>2</v>
      </c>
      <c r="Y50" s="15">
        <v>2</v>
      </c>
      <c r="Z50" s="15">
        <v>2</v>
      </c>
      <c r="AA50" s="16"/>
      <c r="AB50" s="12"/>
      <c r="AC50" s="12"/>
      <c r="AD50" s="12"/>
      <c r="AE50" s="12"/>
      <c r="AF50" s="12"/>
      <c r="AG50" s="12"/>
    </row>
    <row r="51" spans="1:33" ht="41.25" customHeight="1">
      <c r="A51" s="23"/>
      <c r="B51" s="24" t="s">
        <v>550</v>
      </c>
      <c r="C51" s="9" t="s">
        <v>50</v>
      </c>
      <c r="D51" s="10" t="s">
        <v>551</v>
      </c>
      <c r="E51" s="10" t="s">
        <v>552</v>
      </c>
      <c r="F51" s="10" t="s">
        <v>553</v>
      </c>
      <c r="G51" s="10" t="s">
        <v>554</v>
      </c>
      <c r="H51" s="10" t="s">
        <v>555</v>
      </c>
      <c r="I51" s="10" t="s">
        <v>556</v>
      </c>
      <c r="J51" s="10" t="s">
        <v>557</v>
      </c>
      <c r="K51" s="10" t="s">
        <v>558</v>
      </c>
      <c r="L51" s="10" t="s">
        <v>559</v>
      </c>
      <c r="M51" s="10" t="s">
        <v>560</v>
      </c>
      <c r="N51" s="12"/>
      <c r="O51" s="13">
        <v>0</v>
      </c>
      <c r="P51" s="14" t="e">
        <f t="shared" si="3"/>
        <v>#VALUE!</v>
      </c>
      <c r="Q51" s="12"/>
      <c r="R51" s="14" t="str">
        <f t="shared" si="1"/>
        <v>[Active/Passive Voice Ratio]=(0/10)</v>
      </c>
      <c r="S51" s="12"/>
      <c r="T51" s="14" t="str">
        <f t="shared" si="2"/>
        <v>[Active/Passive Voice Ratio]=</v>
      </c>
      <c r="U51" s="12"/>
      <c r="V51" s="15">
        <v>7</v>
      </c>
      <c r="W51" s="15">
        <v>7</v>
      </c>
      <c r="X51" s="15">
        <v>7</v>
      </c>
      <c r="Y51" s="15">
        <v>7</v>
      </c>
      <c r="Z51" s="15">
        <v>7</v>
      </c>
      <c r="AA51" s="16"/>
      <c r="AB51" s="12"/>
      <c r="AC51" s="12"/>
      <c r="AD51" s="12"/>
      <c r="AE51" s="12"/>
      <c r="AF51" s="12"/>
      <c r="AG51" s="12"/>
    </row>
    <row r="52" spans="1:33" ht="41.25" customHeight="1">
      <c r="A52" s="25"/>
      <c r="B52" s="26" t="s">
        <v>561</v>
      </c>
      <c r="C52" s="19" t="s">
        <v>95</v>
      </c>
      <c r="D52" s="10" t="s">
        <v>562</v>
      </c>
      <c r="E52" s="10" t="s">
        <v>563</v>
      </c>
      <c r="F52" s="10" t="s">
        <v>564</v>
      </c>
      <c r="G52" s="10" t="s">
        <v>565</v>
      </c>
      <c r="H52" s="10" t="s">
        <v>566</v>
      </c>
      <c r="I52" s="10" t="s">
        <v>567</v>
      </c>
      <c r="J52" s="10" t="s">
        <v>568</v>
      </c>
      <c r="K52" s="10" t="s">
        <v>569</v>
      </c>
      <c r="L52" s="10" t="s">
        <v>570</v>
      </c>
      <c r="M52" s="10" t="s">
        <v>571</v>
      </c>
      <c r="N52" s="20"/>
      <c r="O52" s="13">
        <v>0</v>
      </c>
      <c r="P52" s="14" t="e">
        <f t="shared" si="3"/>
        <v>#VALUE!</v>
      </c>
      <c r="Q52" s="14"/>
      <c r="R52" s="14" t="str">
        <f t="shared" si="1"/>
        <v>[Balance of Narrative and Expository Elements]=(0/10)</v>
      </c>
      <c r="S52" s="14"/>
      <c r="T52" s="14" t="str">
        <f t="shared" si="2"/>
        <v>[Balance of Narrative and Expository Elements]=</v>
      </c>
      <c r="U52" s="14"/>
      <c r="V52" s="15">
        <v>4</v>
      </c>
      <c r="W52" s="15">
        <v>4</v>
      </c>
      <c r="X52" s="15">
        <v>4</v>
      </c>
      <c r="Y52" s="15">
        <v>4</v>
      </c>
      <c r="Z52" s="15">
        <v>4</v>
      </c>
      <c r="AA52" s="16"/>
      <c r="AB52" s="12"/>
      <c r="AC52" s="12"/>
      <c r="AD52" s="12"/>
      <c r="AE52" s="12"/>
      <c r="AF52" s="12"/>
      <c r="AG52" s="12"/>
    </row>
    <row r="53" spans="1:33" ht="41.25" customHeight="1">
      <c r="A53" s="23"/>
      <c r="B53" s="24" t="s">
        <v>572</v>
      </c>
      <c r="C53" s="19" t="s">
        <v>95</v>
      </c>
      <c r="D53" s="10" t="s">
        <v>573</v>
      </c>
      <c r="E53" s="10" t="s">
        <v>574</v>
      </c>
      <c r="F53" s="10" t="s">
        <v>575</v>
      </c>
      <c r="G53" s="10" t="s">
        <v>576</v>
      </c>
      <c r="H53" s="10" t="s">
        <v>577</v>
      </c>
      <c r="I53" s="10" t="s">
        <v>578</v>
      </c>
      <c r="J53" s="10" t="s">
        <v>579</v>
      </c>
      <c r="K53" s="10" t="s">
        <v>580</v>
      </c>
      <c r="L53" s="10" t="s">
        <v>581</v>
      </c>
      <c r="M53" s="10" t="s">
        <v>582</v>
      </c>
      <c r="N53" s="20"/>
      <c r="O53" s="13">
        <v>0</v>
      </c>
      <c r="P53" s="14" t="e">
        <f t="shared" si="3"/>
        <v>#VALUE!</v>
      </c>
      <c r="Q53" s="14"/>
      <c r="R53" s="14" t="str">
        <f t="shared" si="1"/>
        <v>[Clarity and Conciseness]=(0/10)</v>
      </c>
      <c r="S53" s="14"/>
      <c r="T53" s="14" t="str">
        <f t="shared" si="2"/>
        <v>[Clarity and Conciseness]=</v>
      </c>
      <c r="U53" s="14"/>
      <c r="V53" s="15">
        <v>6</v>
      </c>
      <c r="W53" s="15">
        <v>6</v>
      </c>
      <c r="X53" s="15">
        <v>6</v>
      </c>
      <c r="Y53" s="15">
        <v>6</v>
      </c>
      <c r="Z53" s="15">
        <v>6</v>
      </c>
      <c r="AA53" s="16"/>
      <c r="AB53" s="12"/>
      <c r="AC53" s="12"/>
      <c r="AD53" s="12"/>
      <c r="AE53" s="12"/>
      <c r="AF53" s="12"/>
      <c r="AG53" s="12"/>
    </row>
    <row r="54" spans="1:33" ht="41.25" customHeight="1">
      <c r="A54" s="23"/>
      <c r="B54" s="24" t="s">
        <v>583</v>
      </c>
      <c r="C54" s="9" t="s">
        <v>95</v>
      </c>
      <c r="D54" s="10" t="s">
        <v>584</v>
      </c>
      <c r="E54" s="10" t="s">
        <v>585</v>
      </c>
      <c r="F54" s="10" t="s">
        <v>586</v>
      </c>
      <c r="G54" s="10" t="s">
        <v>587</v>
      </c>
      <c r="H54" s="10" t="s">
        <v>588</v>
      </c>
      <c r="I54" s="10" t="s">
        <v>589</v>
      </c>
      <c r="J54" s="10" t="s">
        <v>590</v>
      </c>
      <c r="K54" s="10" t="s">
        <v>591</v>
      </c>
      <c r="L54" s="10" t="s">
        <v>592</v>
      </c>
      <c r="M54" s="10" t="s">
        <v>593</v>
      </c>
      <c r="N54" s="12"/>
      <c r="O54" s="13">
        <v>0</v>
      </c>
      <c r="P54" s="14" t="e">
        <f t="shared" si="3"/>
        <v>#VALUE!</v>
      </c>
      <c r="Q54" s="12"/>
      <c r="R54" s="14" t="str">
        <f t="shared" si="1"/>
        <v>[Formality Level]=(0/10)</v>
      </c>
      <c r="S54" s="12"/>
      <c r="T54" s="14" t="str">
        <f t="shared" si="2"/>
        <v>[Formality Level]=</v>
      </c>
      <c r="U54" s="12"/>
      <c r="V54" s="15">
        <v>4</v>
      </c>
      <c r="W54" s="15">
        <v>4</v>
      </c>
      <c r="X54" s="21">
        <v>4</v>
      </c>
      <c r="Y54" s="13">
        <v>2</v>
      </c>
      <c r="Z54" s="13">
        <v>3</v>
      </c>
      <c r="AA54" s="16"/>
      <c r="AB54" s="12"/>
      <c r="AC54" s="12"/>
      <c r="AD54" s="12"/>
      <c r="AE54" s="12"/>
      <c r="AF54" s="12"/>
      <c r="AG54" s="12"/>
    </row>
    <row r="55" spans="1:33" ht="41.25" customHeight="1">
      <c r="A55" s="23"/>
      <c r="B55" s="24" t="s">
        <v>594</v>
      </c>
      <c r="C55" s="19" t="s">
        <v>95</v>
      </c>
      <c r="D55" s="10" t="s">
        <v>595</v>
      </c>
      <c r="E55" s="10" t="s">
        <v>596</v>
      </c>
      <c r="F55" s="10" t="s">
        <v>597</v>
      </c>
      <c r="G55" s="10" t="s">
        <v>598</v>
      </c>
      <c r="H55" s="10" t="s">
        <v>599</v>
      </c>
      <c r="I55" s="10" t="s">
        <v>600</v>
      </c>
      <c r="J55" s="10" t="s">
        <v>601</v>
      </c>
      <c r="K55" s="10" t="s">
        <v>602</v>
      </c>
      <c r="L55" s="10" t="s">
        <v>603</v>
      </c>
      <c r="M55" s="10" t="s">
        <v>604</v>
      </c>
      <c r="N55" s="20"/>
      <c r="O55" s="13">
        <v>0</v>
      </c>
      <c r="P55" s="14" t="e">
        <f t="shared" si="3"/>
        <v>#VALUE!</v>
      </c>
      <c r="Q55" s="14"/>
      <c r="R55" s="14" t="str">
        <f t="shared" si="1"/>
        <v>[Information Density]=(0/10)</v>
      </c>
      <c r="S55" s="14"/>
      <c r="T55" s="14" t="str">
        <f t="shared" si="2"/>
        <v>[Information Density]=</v>
      </c>
      <c r="U55" s="14"/>
      <c r="V55" s="15">
        <v>5</v>
      </c>
      <c r="W55" s="15">
        <v>5</v>
      </c>
      <c r="X55" s="15">
        <v>5</v>
      </c>
      <c r="Y55" s="15">
        <v>5</v>
      </c>
      <c r="Z55" s="15">
        <v>5</v>
      </c>
      <c r="AA55" s="16"/>
      <c r="AB55" s="12"/>
      <c r="AC55" s="12"/>
      <c r="AD55" s="12"/>
      <c r="AE55" s="12"/>
      <c r="AF55" s="12"/>
      <c r="AG55" s="12"/>
    </row>
    <row r="56" spans="1:33" ht="41.25" customHeight="1">
      <c r="A56" s="23"/>
      <c r="B56" s="24" t="s">
        <v>605</v>
      </c>
      <c r="C56" s="19" t="s">
        <v>95</v>
      </c>
      <c r="D56" s="10" t="s">
        <v>606</v>
      </c>
      <c r="E56" s="10" t="s">
        <v>607</v>
      </c>
      <c r="F56" s="10" t="s">
        <v>608</v>
      </c>
      <c r="G56" s="10" t="s">
        <v>609</v>
      </c>
      <c r="H56" s="10" t="s">
        <v>610</v>
      </c>
      <c r="I56" s="10" t="s">
        <v>611</v>
      </c>
      <c r="J56" s="10" t="s">
        <v>612</v>
      </c>
      <c r="K56" s="10" t="s">
        <v>613</v>
      </c>
      <c r="L56" s="10" t="s">
        <v>614</v>
      </c>
      <c r="M56" s="10" t="s">
        <v>615</v>
      </c>
      <c r="N56" s="20"/>
      <c r="O56" s="13">
        <v>0</v>
      </c>
      <c r="P56" s="14" t="e">
        <f t="shared" si="3"/>
        <v>#VALUE!</v>
      </c>
      <c r="Q56" s="14"/>
      <c r="R56" s="14" t="str">
        <f t="shared" si="1"/>
        <v>[Punctuation Usage]=(0/10)</v>
      </c>
      <c r="S56" s="14"/>
      <c r="T56" s="14" t="str">
        <f t="shared" si="2"/>
        <v>[Punctuation Usage]=</v>
      </c>
      <c r="U56" s="14"/>
      <c r="V56" s="15">
        <v>4</v>
      </c>
      <c r="W56" s="15">
        <v>4</v>
      </c>
      <c r="X56" s="15">
        <v>4</v>
      </c>
      <c r="Y56" s="15">
        <v>4</v>
      </c>
      <c r="Z56" s="15">
        <v>4</v>
      </c>
      <c r="AA56" s="16"/>
      <c r="AB56" s="12"/>
      <c r="AC56" s="12"/>
      <c r="AD56" s="12"/>
      <c r="AE56" s="12"/>
      <c r="AF56" s="12"/>
      <c r="AG56" s="12"/>
    </row>
    <row r="57" spans="1:33" ht="41.25" customHeight="1">
      <c r="A57" s="23"/>
      <c r="B57" s="24" t="s">
        <v>616</v>
      </c>
      <c r="C57" s="19" t="s">
        <v>95</v>
      </c>
      <c r="D57" s="10" t="s">
        <v>617</v>
      </c>
      <c r="E57" s="10" t="s">
        <v>618</v>
      </c>
      <c r="F57" s="10" t="s">
        <v>619</v>
      </c>
      <c r="G57" s="10" t="s">
        <v>620</v>
      </c>
      <c r="H57" s="10" t="s">
        <v>621</v>
      </c>
      <c r="I57" s="10" t="s">
        <v>622</v>
      </c>
      <c r="J57" s="10" t="s">
        <v>623</v>
      </c>
      <c r="K57" s="10" t="s">
        <v>624</v>
      </c>
      <c r="L57" s="10" t="s">
        <v>625</v>
      </c>
      <c r="M57" s="10" t="s">
        <v>626</v>
      </c>
      <c r="N57" s="20"/>
      <c r="O57" s="13">
        <v>0</v>
      </c>
      <c r="P57" s="14" t="e">
        <f t="shared" si="3"/>
        <v>#VALUE!</v>
      </c>
      <c r="Q57" s="14"/>
      <c r="R57" s="14" t="str">
        <f t="shared" si="1"/>
        <v>[Rhythmic Cadence]=(0/10)</v>
      </c>
      <c r="S57" s="14"/>
      <c r="T57" s="14" t="str">
        <f t="shared" si="2"/>
        <v>[Rhythmic Cadence]=</v>
      </c>
      <c r="U57" s="14"/>
      <c r="V57" s="15">
        <v>4</v>
      </c>
      <c r="W57" s="15">
        <v>4</v>
      </c>
      <c r="X57" s="15">
        <v>4</v>
      </c>
      <c r="Y57" s="15">
        <v>4</v>
      </c>
      <c r="Z57" s="15">
        <v>4</v>
      </c>
      <c r="AA57" s="16"/>
      <c r="AB57" s="12"/>
      <c r="AC57" s="12"/>
      <c r="AD57" s="12"/>
      <c r="AE57" s="12"/>
      <c r="AF57" s="12"/>
      <c r="AG57" s="12"/>
    </row>
    <row r="58" spans="1:33" ht="41.25" customHeight="1">
      <c r="A58" s="23"/>
      <c r="B58" s="24" t="s">
        <v>627</v>
      </c>
      <c r="C58" s="19" t="s">
        <v>95</v>
      </c>
      <c r="D58" s="10" t="s">
        <v>628</v>
      </c>
      <c r="E58" s="10" t="s">
        <v>629</v>
      </c>
      <c r="F58" s="10" t="s">
        <v>630</v>
      </c>
      <c r="G58" s="10" t="s">
        <v>631</v>
      </c>
      <c r="H58" s="10" t="s">
        <v>632</v>
      </c>
      <c r="I58" s="10" t="s">
        <v>633</v>
      </c>
      <c r="J58" s="10" t="s">
        <v>634</v>
      </c>
      <c r="K58" s="10" t="s">
        <v>635</v>
      </c>
      <c r="L58" s="10" t="s">
        <v>636</v>
      </c>
      <c r="M58" s="10" t="s">
        <v>637</v>
      </c>
      <c r="N58" s="20"/>
      <c r="O58" s="13">
        <v>0</v>
      </c>
      <c r="P58" s="14" t="e">
        <f t="shared" si="3"/>
        <v>#VALUE!</v>
      </c>
      <c r="Q58" s="14"/>
      <c r="R58" s="14" t="str">
        <f t="shared" si="1"/>
        <v>[Transitional Fluidity]=(0/10)</v>
      </c>
      <c r="S58" s="14"/>
      <c r="T58" s="14" t="str">
        <f t="shared" si="2"/>
        <v>[Transitional Fluidity]=</v>
      </c>
      <c r="U58" s="14"/>
      <c r="V58" s="15">
        <v>6</v>
      </c>
      <c r="W58" s="15">
        <v>6</v>
      </c>
      <c r="X58" s="15">
        <v>6</v>
      </c>
      <c r="Y58" s="15">
        <v>6</v>
      </c>
      <c r="Z58" s="15">
        <v>6</v>
      </c>
      <c r="AA58" s="16"/>
      <c r="AB58" s="12"/>
      <c r="AC58" s="12"/>
      <c r="AD58" s="12"/>
      <c r="AE58" s="12"/>
      <c r="AF58" s="12"/>
      <c r="AG58" s="12"/>
    </row>
    <row r="59" spans="1:33" ht="12.75">
      <c r="A59" s="3"/>
      <c r="D59" s="22"/>
      <c r="E59" s="22"/>
      <c r="F59" s="22"/>
      <c r="G59" s="22"/>
      <c r="H59" s="22"/>
      <c r="I59" s="22"/>
      <c r="J59" s="22"/>
      <c r="K59" s="22"/>
      <c r="L59" s="22"/>
      <c r="M59" s="22"/>
      <c r="O59" s="3"/>
      <c r="V59" s="3"/>
      <c r="W59" s="3"/>
      <c r="X59" s="3"/>
      <c r="Y59" s="3"/>
      <c r="Z59" s="3"/>
    </row>
    <row r="60" spans="1:33" ht="12.75">
      <c r="A60" s="3"/>
      <c r="D60" s="22"/>
      <c r="E60" s="22"/>
      <c r="F60" s="22"/>
      <c r="G60" s="22"/>
      <c r="H60" s="22"/>
      <c r="I60" s="22"/>
      <c r="J60" s="22"/>
      <c r="K60" s="22"/>
      <c r="L60" s="22"/>
      <c r="M60" s="22"/>
      <c r="O60" s="3"/>
      <c r="V60" s="3"/>
      <c r="W60" s="3"/>
      <c r="X60" s="3"/>
      <c r="Y60" s="3"/>
      <c r="Z60" s="3"/>
    </row>
    <row r="61" spans="1:33" ht="12.75">
      <c r="A61" s="3"/>
      <c r="D61" s="22"/>
      <c r="E61" s="22"/>
      <c r="F61" s="22"/>
      <c r="G61" s="22"/>
      <c r="H61" s="22"/>
      <c r="I61" s="22"/>
      <c r="J61" s="22"/>
      <c r="K61" s="22"/>
      <c r="L61" s="22"/>
      <c r="M61" s="22"/>
      <c r="O61" s="3"/>
      <c r="V61" s="3"/>
      <c r="W61" s="3"/>
      <c r="X61" s="3"/>
      <c r="Y61" s="3"/>
      <c r="Z61" s="3"/>
    </row>
    <row r="62" spans="1:33" ht="12.75">
      <c r="A62" s="3"/>
      <c r="D62" s="22"/>
      <c r="E62" s="22"/>
      <c r="F62" s="22"/>
      <c r="G62" s="22"/>
      <c r="H62" s="22"/>
      <c r="I62" s="22"/>
      <c r="J62" s="22"/>
      <c r="K62" s="22"/>
      <c r="L62" s="22"/>
      <c r="M62" s="22"/>
      <c r="O62" s="3"/>
      <c r="V62" s="3"/>
      <c r="W62" s="3"/>
      <c r="X62" s="3"/>
      <c r="Y62" s="3"/>
      <c r="Z62" s="3"/>
    </row>
    <row r="63" spans="1:33" ht="12.75">
      <c r="A63" s="3"/>
      <c r="D63" s="22"/>
      <c r="E63" s="22"/>
      <c r="F63" s="22"/>
      <c r="G63" s="22"/>
      <c r="H63" s="22"/>
      <c r="I63" s="22"/>
      <c r="J63" s="22"/>
      <c r="K63" s="22"/>
      <c r="L63" s="22"/>
      <c r="M63" s="22"/>
      <c r="O63" s="3"/>
      <c r="V63" s="3"/>
      <c r="W63" s="3"/>
      <c r="X63" s="3"/>
      <c r="Y63" s="3"/>
      <c r="Z63" s="3"/>
    </row>
    <row r="64" spans="1:33" ht="12.75">
      <c r="A64" s="3"/>
      <c r="D64" s="22"/>
      <c r="E64" s="22"/>
      <c r="F64" s="22"/>
      <c r="G64" s="22"/>
      <c r="H64" s="22"/>
      <c r="I64" s="22"/>
      <c r="J64" s="22"/>
      <c r="K64" s="22"/>
      <c r="L64" s="22"/>
      <c r="M64" s="22"/>
      <c r="O64" s="3"/>
      <c r="V64" s="3"/>
      <c r="W64" s="3"/>
      <c r="X64" s="3"/>
      <c r="Y64" s="3"/>
      <c r="Z64" s="3"/>
    </row>
    <row r="65" spans="1:26" ht="12.75">
      <c r="A65" s="3"/>
      <c r="D65" s="22"/>
      <c r="E65" s="22"/>
      <c r="F65" s="22"/>
      <c r="G65" s="22"/>
      <c r="H65" s="22"/>
      <c r="I65" s="22"/>
      <c r="J65" s="22"/>
      <c r="K65" s="22"/>
      <c r="L65" s="22"/>
      <c r="M65" s="22"/>
      <c r="O65" s="3"/>
      <c r="V65" s="3"/>
      <c r="W65" s="3"/>
      <c r="X65" s="3"/>
      <c r="Y65" s="3"/>
      <c r="Z65" s="3"/>
    </row>
    <row r="66" spans="1:26" ht="12.75">
      <c r="A66" s="3"/>
      <c r="D66" s="22"/>
      <c r="E66" s="22"/>
      <c r="F66" s="22"/>
      <c r="G66" s="22"/>
      <c r="H66" s="22"/>
      <c r="I66" s="22"/>
      <c r="J66" s="22"/>
      <c r="K66" s="22"/>
      <c r="L66" s="22"/>
      <c r="M66" s="22"/>
      <c r="O66" s="3"/>
      <c r="V66" s="3"/>
      <c r="W66" s="3"/>
      <c r="X66" s="3"/>
      <c r="Y66" s="3"/>
      <c r="Z66" s="3"/>
    </row>
    <row r="67" spans="1:26" ht="12.75">
      <c r="A67" s="3"/>
      <c r="D67" s="22"/>
      <c r="E67" s="22"/>
      <c r="F67" s="22"/>
      <c r="G67" s="22"/>
      <c r="H67" s="22"/>
      <c r="I67" s="22"/>
      <c r="J67" s="22"/>
      <c r="K67" s="22"/>
      <c r="L67" s="22"/>
      <c r="M67" s="22"/>
      <c r="O67" s="3"/>
      <c r="V67" s="3"/>
      <c r="W67" s="3"/>
      <c r="X67" s="3"/>
      <c r="Y67" s="3"/>
      <c r="Z67" s="3"/>
    </row>
    <row r="68" spans="1:26" ht="12.75">
      <c r="A68" s="3"/>
      <c r="D68" s="22"/>
      <c r="E68" s="22"/>
      <c r="F68" s="22"/>
      <c r="G68" s="22"/>
      <c r="H68" s="22"/>
      <c r="I68" s="22"/>
      <c r="J68" s="22"/>
      <c r="K68" s="22"/>
      <c r="L68" s="22"/>
      <c r="M68" s="22"/>
      <c r="O68" s="3"/>
      <c r="V68" s="3"/>
      <c r="W68" s="3"/>
      <c r="X68" s="3"/>
      <c r="Y68" s="3"/>
      <c r="Z68" s="3"/>
    </row>
    <row r="69" spans="1:26" ht="12.75">
      <c r="A69" s="3"/>
      <c r="D69" s="22"/>
      <c r="E69" s="22"/>
      <c r="F69" s="22"/>
      <c r="G69" s="22"/>
      <c r="H69" s="22"/>
      <c r="I69" s="22"/>
      <c r="J69" s="22"/>
      <c r="K69" s="22"/>
      <c r="L69" s="22"/>
      <c r="M69" s="22"/>
      <c r="O69" s="3"/>
      <c r="V69" s="3"/>
      <c r="W69" s="3"/>
      <c r="X69" s="3"/>
      <c r="Y69" s="3"/>
      <c r="Z69" s="3"/>
    </row>
    <row r="70" spans="1:26" ht="12.75">
      <c r="A70" s="3"/>
      <c r="D70" s="22"/>
      <c r="E70" s="22"/>
      <c r="F70" s="22"/>
      <c r="G70" s="22"/>
      <c r="H70" s="22"/>
      <c r="I70" s="22"/>
      <c r="J70" s="22"/>
      <c r="K70" s="22"/>
      <c r="L70" s="22"/>
      <c r="M70" s="22"/>
      <c r="O70" s="3"/>
      <c r="V70" s="3"/>
      <c r="W70" s="3"/>
      <c r="X70" s="3"/>
      <c r="Y70" s="3"/>
      <c r="Z70" s="3"/>
    </row>
    <row r="71" spans="1:26" ht="12.75">
      <c r="A71" s="3"/>
      <c r="D71" s="22"/>
      <c r="E71" s="22"/>
      <c r="F71" s="22"/>
      <c r="G71" s="22"/>
      <c r="H71" s="22"/>
      <c r="I71" s="22"/>
      <c r="J71" s="22"/>
      <c r="K71" s="22"/>
      <c r="L71" s="22"/>
      <c r="M71" s="22"/>
      <c r="O71" s="3"/>
      <c r="V71" s="3"/>
      <c r="W71" s="3"/>
      <c r="X71" s="3"/>
      <c r="Y71" s="3"/>
      <c r="Z71" s="3"/>
    </row>
    <row r="72" spans="1:26" ht="12.75">
      <c r="A72" s="3"/>
      <c r="D72" s="22"/>
      <c r="E72" s="22"/>
      <c r="F72" s="22"/>
      <c r="G72" s="22"/>
      <c r="H72" s="22"/>
      <c r="I72" s="22"/>
      <c r="J72" s="22"/>
      <c r="K72" s="22"/>
      <c r="L72" s="22"/>
      <c r="M72" s="22"/>
      <c r="O72" s="3"/>
      <c r="V72" s="3"/>
      <c r="W72" s="3"/>
      <c r="X72" s="3"/>
      <c r="Y72" s="3"/>
      <c r="Z72" s="3"/>
    </row>
    <row r="73" spans="1:26" ht="12.75">
      <c r="A73" s="3"/>
      <c r="D73" s="22"/>
      <c r="E73" s="22"/>
      <c r="F73" s="22"/>
      <c r="G73" s="22"/>
      <c r="H73" s="22"/>
      <c r="I73" s="22"/>
      <c r="J73" s="22"/>
      <c r="K73" s="22"/>
      <c r="L73" s="22"/>
      <c r="M73" s="22"/>
      <c r="O73" s="3"/>
      <c r="V73" s="3"/>
      <c r="W73" s="3"/>
      <c r="X73" s="3"/>
      <c r="Y73" s="3"/>
      <c r="Z73" s="3"/>
    </row>
    <row r="74" spans="1:26" ht="12.75">
      <c r="A74" s="3"/>
      <c r="D74" s="22"/>
      <c r="E74" s="22"/>
      <c r="F74" s="22"/>
      <c r="G74" s="22"/>
      <c r="H74" s="22"/>
      <c r="I74" s="22"/>
      <c r="J74" s="22"/>
      <c r="K74" s="22"/>
      <c r="L74" s="22"/>
      <c r="M74" s="22"/>
      <c r="O74" s="3"/>
      <c r="V74" s="3"/>
      <c r="W74" s="3"/>
      <c r="X74" s="3"/>
      <c r="Y74" s="3"/>
      <c r="Z74" s="3"/>
    </row>
    <row r="75" spans="1:26" ht="12.75">
      <c r="A75" s="3"/>
      <c r="D75" s="22"/>
      <c r="E75" s="22"/>
      <c r="F75" s="22"/>
      <c r="G75" s="22"/>
      <c r="H75" s="22"/>
      <c r="I75" s="22"/>
      <c r="J75" s="22"/>
      <c r="K75" s="22"/>
      <c r="L75" s="22"/>
      <c r="M75" s="22"/>
      <c r="O75" s="3"/>
      <c r="V75" s="3"/>
      <c r="W75" s="3"/>
      <c r="X75" s="3"/>
      <c r="Y75" s="3"/>
      <c r="Z75" s="3"/>
    </row>
    <row r="76" spans="1:26" ht="12.75">
      <c r="A76" s="3"/>
      <c r="D76" s="22"/>
      <c r="E76" s="22"/>
      <c r="F76" s="22"/>
      <c r="G76" s="22"/>
      <c r="H76" s="22"/>
      <c r="I76" s="22"/>
      <c r="J76" s="22"/>
      <c r="K76" s="22"/>
      <c r="L76" s="22"/>
      <c r="M76" s="22"/>
      <c r="O76" s="3"/>
      <c r="V76" s="3"/>
      <c r="W76" s="3"/>
      <c r="X76" s="3"/>
      <c r="Y76" s="3"/>
      <c r="Z76" s="3"/>
    </row>
    <row r="77" spans="1:26" ht="12.75">
      <c r="A77" s="3"/>
      <c r="D77" s="22"/>
      <c r="E77" s="22"/>
      <c r="F77" s="22"/>
      <c r="G77" s="22"/>
      <c r="H77" s="22"/>
      <c r="I77" s="22"/>
      <c r="J77" s="22"/>
      <c r="K77" s="22"/>
      <c r="L77" s="22"/>
      <c r="M77" s="22"/>
      <c r="O77" s="3"/>
      <c r="V77" s="3"/>
      <c r="W77" s="3"/>
      <c r="X77" s="3"/>
      <c r="Y77" s="3"/>
      <c r="Z77" s="3"/>
    </row>
    <row r="78" spans="1:26" ht="12.75">
      <c r="A78" s="3"/>
      <c r="D78" s="22"/>
      <c r="E78" s="22"/>
      <c r="F78" s="22"/>
      <c r="G78" s="22"/>
      <c r="H78" s="22"/>
      <c r="I78" s="22"/>
      <c r="J78" s="22"/>
      <c r="K78" s="22"/>
      <c r="L78" s="22"/>
      <c r="M78" s="22"/>
      <c r="O78" s="3"/>
      <c r="V78" s="3"/>
      <c r="W78" s="3"/>
      <c r="X78" s="3"/>
      <c r="Y78" s="3"/>
      <c r="Z78" s="3"/>
    </row>
    <row r="79" spans="1:26" ht="12.75">
      <c r="A79" s="3"/>
      <c r="D79" s="22"/>
      <c r="E79" s="22"/>
      <c r="F79" s="22"/>
      <c r="G79" s="22"/>
      <c r="H79" s="22"/>
      <c r="I79" s="22"/>
      <c r="J79" s="22"/>
      <c r="K79" s="22"/>
      <c r="L79" s="22"/>
      <c r="M79" s="22"/>
      <c r="O79" s="3"/>
      <c r="V79" s="3"/>
      <c r="W79" s="3"/>
      <c r="X79" s="3"/>
      <c r="Y79" s="3"/>
      <c r="Z79" s="3"/>
    </row>
    <row r="80" spans="1:26" ht="12.75">
      <c r="A80" s="3"/>
      <c r="D80" s="22"/>
      <c r="E80" s="22"/>
      <c r="F80" s="22"/>
      <c r="G80" s="22"/>
      <c r="H80" s="22"/>
      <c r="I80" s="22"/>
      <c r="J80" s="22"/>
      <c r="K80" s="22"/>
      <c r="L80" s="22"/>
      <c r="M80" s="22"/>
      <c r="O80" s="3"/>
      <c r="V80" s="3"/>
      <c r="W80" s="3"/>
      <c r="X80" s="3"/>
      <c r="Y80" s="3"/>
      <c r="Z80" s="3"/>
    </row>
    <row r="81" spans="1:26" ht="12.75">
      <c r="A81" s="3"/>
      <c r="D81" s="22"/>
      <c r="E81" s="22"/>
      <c r="F81" s="22"/>
      <c r="G81" s="22"/>
      <c r="H81" s="22"/>
      <c r="I81" s="22"/>
      <c r="J81" s="22"/>
      <c r="K81" s="22"/>
      <c r="L81" s="22"/>
      <c r="M81" s="22"/>
      <c r="O81" s="3"/>
      <c r="V81" s="3"/>
      <c r="W81" s="3"/>
      <c r="X81" s="3"/>
      <c r="Y81" s="3"/>
      <c r="Z81" s="3"/>
    </row>
    <row r="82" spans="1:26" ht="12.75">
      <c r="A82" s="3"/>
      <c r="D82" s="22"/>
      <c r="E82" s="22"/>
      <c r="F82" s="22"/>
      <c r="G82" s="22"/>
      <c r="H82" s="22"/>
      <c r="I82" s="22"/>
      <c r="J82" s="22"/>
      <c r="K82" s="22"/>
      <c r="L82" s="22"/>
      <c r="M82" s="22"/>
      <c r="O82" s="3"/>
      <c r="V82" s="3"/>
      <c r="W82" s="3"/>
      <c r="X82" s="3"/>
      <c r="Y82" s="3"/>
      <c r="Z82" s="3"/>
    </row>
    <row r="83" spans="1:26" ht="12.75">
      <c r="A83" s="3"/>
      <c r="D83" s="22"/>
      <c r="E83" s="22"/>
      <c r="F83" s="22"/>
      <c r="G83" s="22"/>
      <c r="H83" s="22"/>
      <c r="I83" s="22"/>
      <c r="J83" s="22"/>
      <c r="K83" s="22"/>
      <c r="L83" s="22"/>
      <c r="M83" s="22"/>
      <c r="O83" s="3"/>
      <c r="V83" s="3"/>
      <c r="W83" s="3"/>
      <c r="X83" s="3"/>
      <c r="Y83" s="3"/>
      <c r="Z83" s="3"/>
    </row>
    <row r="84" spans="1:26" ht="12.75">
      <c r="A84" s="3"/>
      <c r="D84" s="22"/>
      <c r="E84" s="22"/>
      <c r="F84" s="22"/>
      <c r="G84" s="22"/>
      <c r="H84" s="22"/>
      <c r="I84" s="22"/>
      <c r="J84" s="22"/>
      <c r="K84" s="22"/>
      <c r="L84" s="22"/>
      <c r="M84" s="22"/>
      <c r="O84" s="3"/>
      <c r="V84" s="3"/>
      <c r="W84" s="3"/>
      <c r="X84" s="3"/>
      <c r="Y84" s="3"/>
      <c r="Z84" s="3"/>
    </row>
    <row r="85" spans="1:26" ht="12.75">
      <c r="A85" s="3"/>
      <c r="D85" s="22"/>
      <c r="E85" s="22"/>
      <c r="F85" s="22"/>
      <c r="G85" s="22"/>
      <c r="H85" s="22"/>
      <c r="I85" s="22"/>
      <c r="J85" s="22"/>
      <c r="K85" s="22"/>
      <c r="L85" s="22"/>
      <c r="M85" s="22"/>
      <c r="O85" s="3"/>
      <c r="V85" s="3"/>
      <c r="W85" s="3"/>
      <c r="X85" s="3"/>
      <c r="Y85" s="3"/>
      <c r="Z85" s="3"/>
    </row>
    <row r="86" spans="1:26" ht="12.75">
      <c r="A86" s="3"/>
      <c r="D86" s="22"/>
      <c r="E86" s="22"/>
      <c r="F86" s="22"/>
      <c r="G86" s="22"/>
      <c r="H86" s="22"/>
      <c r="I86" s="22"/>
      <c r="J86" s="22"/>
      <c r="K86" s="22"/>
      <c r="L86" s="22"/>
      <c r="M86" s="22"/>
      <c r="O86" s="3"/>
      <c r="V86" s="3"/>
      <c r="W86" s="3"/>
      <c r="X86" s="3"/>
      <c r="Y86" s="3"/>
      <c r="Z86" s="3"/>
    </row>
    <row r="87" spans="1:26" ht="12.75">
      <c r="A87" s="3"/>
      <c r="D87" s="22"/>
      <c r="E87" s="22"/>
      <c r="F87" s="22"/>
      <c r="G87" s="22"/>
      <c r="H87" s="22"/>
      <c r="I87" s="22"/>
      <c r="J87" s="22"/>
      <c r="K87" s="22"/>
      <c r="L87" s="22"/>
      <c r="M87" s="22"/>
      <c r="O87" s="3"/>
      <c r="V87" s="3"/>
      <c r="W87" s="3"/>
      <c r="X87" s="3"/>
      <c r="Y87" s="3"/>
      <c r="Z87" s="3"/>
    </row>
    <row r="88" spans="1:26" ht="12.75">
      <c r="A88" s="3"/>
      <c r="D88" s="22"/>
      <c r="E88" s="22"/>
      <c r="F88" s="22"/>
      <c r="G88" s="22"/>
      <c r="H88" s="22"/>
      <c r="I88" s="22"/>
      <c r="J88" s="22"/>
      <c r="K88" s="22"/>
      <c r="L88" s="22"/>
      <c r="M88" s="22"/>
      <c r="O88" s="3"/>
      <c r="V88" s="3"/>
      <c r="W88" s="3"/>
      <c r="X88" s="3"/>
      <c r="Y88" s="3"/>
      <c r="Z88" s="3"/>
    </row>
    <row r="89" spans="1:26" ht="12.75">
      <c r="A89" s="3"/>
      <c r="D89" s="22"/>
      <c r="E89" s="22"/>
      <c r="F89" s="22"/>
      <c r="G89" s="22"/>
      <c r="H89" s="22"/>
      <c r="I89" s="22"/>
      <c r="J89" s="22"/>
      <c r="K89" s="22"/>
      <c r="L89" s="22"/>
      <c r="M89" s="22"/>
      <c r="O89" s="3"/>
      <c r="V89" s="3"/>
      <c r="W89" s="3"/>
      <c r="X89" s="3"/>
      <c r="Y89" s="3"/>
      <c r="Z89" s="3"/>
    </row>
    <row r="90" spans="1:26" ht="12.75">
      <c r="A90" s="3"/>
      <c r="D90" s="22"/>
      <c r="E90" s="22"/>
      <c r="F90" s="22"/>
      <c r="G90" s="22"/>
      <c r="H90" s="22"/>
      <c r="I90" s="22"/>
      <c r="J90" s="22"/>
      <c r="K90" s="22"/>
      <c r="L90" s="22"/>
      <c r="M90" s="22"/>
      <c r="O90" s="3"/>
      <c r="V90" s="3"/>
      <c r="W90" s="3"/>
      <c r="X90" s="3"/>
      <c r="Y90" s="3"/>
      <c r="Z90" s="3"/>
    </row>
    <row r="91" spans="1:26" ht="12.75">
      <c r="A91" s="3"/>
      <c r="D91" s="22"/>
      <c r="E91" s="22"/>
      <c r="F91" s="22"/>
      <c r="G91" s="22"/>
      <c r="H91" s="22"/>
      <c r="I91" s="22"/>
      <c r="J91" s="22"/>
      <c r="K91" s="22"/>
      <c r="L91" s="22"/>
      <c r="M91" s="22"/>
      <c r="O91" s="3"/>
      <c r="V91" s="3"/>
      <c r="W91" s="3"/>
      <c r="X91" s="3"/>
      <c r="Y91" s="3"/>
      <c r="Z91" s="3"/>
    </row>
    <row r="92" spans="1:26" ht="12.75">
      <c r="A92" s="3"/>
      <c r="D92" s="22"/>
      <c r="E92" s="22"/>
      <c r="F92" s="22"/>
      <c r="G92" s="22"/>
      <c r="H92" s="22"/>
      <c r="I92" s="22"/>
      <c r="J92" s="22"/>
      <c r="K92" s="22"/>
      <c r="L92" s="22"/>
      <c r="M92" s="22"/>
      <c r="O92" s="3"/>
      <c r="V92" s="3"/>
      <c r="W92" s="3"/>
      <c r="X92" s="3"/>
      <c r="Y92" s="3"/>
      <c r="Z92" s="3"/>
    </row>
    <row r="93" spans="1:26" ht="12.75">
      <c r="A93" s="3"/>
      <c r="D93" s="22"/>
      <c r="E93" s="22"/>
      <c r="F93" s="22"/>
      <c r="G93" s="22"/>
      <c r="H93" s="22"/>
      <c r="I93" s="22"/>
      <c r="J93" s="22"/>
      <c r="K93" s="22"/>
      <c r="L93" s="22"/>
      <c r="M93" s="22"/>
      <c r="O93" s="3"/>
      <c r="V93" s="3"/>
      <c r="W93" s="3"/>
      <c r="X93" s="3"/>
      <c r="Y93" s="3"/>
      <c r="Z93" s="3"/>
    </row>
    <row r="94" spans="1:26" ht="12.75">
      <c r="A94" s="3"/>
      <c r="D94" s="22"/>
      <c r="E94" s="22"/>
      <c r="F94" s="22"/>
      <c r="G94" s="22"/>
      <c r="H94" s="22"/>
      <c r="I94" s="22"/>
      <c r="J94" s="22"/>
      <c r="K94" s="22"/>
      <c r="L94" s="22"/>
      <c r="M94" s="22"/>
      <c r="O94" s="3"/>
      <c r="V94" s="3"/>
      <c r="W94" s="3"/>
      <c r="X94" s="3"/>
      <c r="Y94" s="3"/>
      <c r="Z94" s="3"/>
    </row>
    <row r="95" spans="1:26" ht="12.75">
      <c r="A95" s="3"/>
      <c r="D95" s="22"/>
      <c r="E95" s="22"/>
      <c r="F95" s="22"/>
      <c r="G95" s="22"/>
      <c r="H95" s="22"/>
      <c r="I95" s="22"/>
      <c r="J95" s="22"/>
      <c r="K95" s="22"/>
      <c r="L95" s="22"/>
      <c r="M95" s="22"/>
      <c r="O95" s="3"/>
      <c r="V95" s="3"/>
      <c r="W95" s="3"/>
      <c r="X95" s="3"/>
      <c r="Y95" s="3"/>
      <c r="Z95" s="3"/>
    </row>
    <row r="96" spans="1:26" ht="12.75">
      <c r="A96" s="3"/>
      <c r="D96" s="22"/>
      <c r="E96" s="22"/>
      <c r="F96" s="22"/>
      <c r="G96" s="22"/>
      <c r="H96" s="22"/>
      <c r="I96" s="22"/>
      <c r="J96" s="22"/>
      <c r="K96" s="22"/>
      <c r="L96" s="22"/>
      <c r="M96" s="22"/>
      <c r="O96" s="3"/>
      <c r="V96" s="3"/>
      <c r="W96" s="3"/>
      <c r="X96" s="3"/>
      <c r="Y96" s="3"/>
      <c r="Z96" s="3"/>
    </row>
    <row r="97" spans="1:26" ht="12.75">
      <c r="A97" s="3"/>
      <c r="D97" s="22"/>
      <c r="E97" s="22"/>
      <c r="F97" s="22"/>
      <c r="G97" s="22"/>
      <c r="H97" s="22"/>
      <c r="I97" s="22"/>
      <c r="J97" s="22"/>
      <c r="K97" s="22"/>
      <c r="L97" s="22"/>
      <c r="M97" s="22"/>
      <c r="O97" s="3"/>
      <c r="V97" s="3"/>
      <c r="W97" s="3"/>
      <c r="X97" s="3"/>
      <c r="Y97" s="3"/>
      <c r="Z97" s="3"/>
    </row>
    <row r="98" spans="1:26" ht="12.75">
      <c r="A98" s="3"/>
      <c r="D98" s="22"/>
      <c r="E98" s="22"/>
      <c r="F98" s="22"/>
      <c r="G98" s="22"/>
      <c r="H98" s="22"/>
      <c r="I98" s="22"/>
      <c r="J98" s="22"/>
      <c r="K98" s="22"/>
      <c r="L98" s="22"/>
      <c r="M98" s="22"/>
      <c r="O98" s="3"/>
      <c r="V98" s="3"/>
      <c r="W98" s="3"/>
      <c r="X98" s="3"/>
      <c r="Y98" s="3"/>
      <c r="Z98" s="3"/>
    </row>
    <row r="99" spans="1:26" ht="12.75">
      <c r="A99" s="3"/>
      <c r="D99" s="22"/>
      <c r="E99" s="22"/>
      <c r="F99" s="22"/>
      <c r="G99" s="22"/>
      <c r="H99" s="22"/>
      <c r="I99" s="22"/>
      <c r="J99" s="22"/>
      <c r="K99" s="22"/>
      <c r="L99" s="22"/>
      <c r="M99" s="22"/>
      <c r="O99" s="3"/>
      <c r="V99" s="3"/>
      <c r="W99" s="3"/>
      <c r="X99" s="3"/>
      <c r="Y99" s="3"/>
      <c r="Z99" s="3"/>
    </row>
    <row r="100" spans="1:26" ht="12.75">
      <c r="A100" s="3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O100" s="3"/>
      <c r="V100" s="3"/>
      <c r="W100" s="3"/>
      <c r="X100" s="3"/>
      <c r="Y100" s="3"/>
      <c r="Z100" s="3"/>
    </row>
    <row r="101" spans="1:26" ht="12.75">
      <c r="A101" s="3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O101" s="3"/>
      <c r="V101" s="3"/>
      <c r="W101" s="3"/>
      <c r="X101" s="3"/>
      <c r="Y101" s="3"/>
      <c r="Z101" s="3"/>
    </row>
    <row r="102" spans="1:26" ht="12.75">
      <c r="A102" s="3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O102" s="3"/>
      <c r="V102" s="3"/>
      <c r="W102" s="3"/>
      <c r="X102" s="3"/>
      <c r="Y102" s="3"/>
      <c r="Z102" s="3"/>
    </row>
    <row r="103" spans="1:26" ht="12.75">
      <c r="A103" s="3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O103" s="3"/>
      <c r="V103" s="3"/>
      <c r="W103" s="3"/>
      <c r="X103" s="3"/>
      <c r="Y103" s="3"/>
      <c r="Z103" s="3"/>
    </row>
    <row r="104" spans="1:26" ht="12.75">
      <c r="A104" s="3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O104" s="3"/>
      <c r="V104" s="3"/>
      <c r="W104" s="3"/>
      <c r="X104" s="3"/>
      <c r="Y104" s="3"/>
      <c r="Z104" s="3"/>
    </row>
    <row r="105" spans="1:26" ht="12.75">
      <c r="A105" s="3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O105" s="3"/>
      <c r="V105" s="3"/>
      <c r="W105" s="3"/>
      <c r="X105" s="3"/>
      <c r="Y105" s="3"/>
      <c r="Z105" s="3"/>
    </row>
    <row r="106" spans="1:26" ht="12.75">
      <c r="A106" s="3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O106" s="3"/>
      <c r="V106" s="3"/>
      <c r="W106" s="3"/>
      <c r="X106" s="3"/>
      <c r="Y106" s="3"/>
      <c r="Z106" s="3"/>
    </row>
    <row r="107" spans="1:26" ht="12.75">
      <c r="A107" s="3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O107" s="3"/>
      <c r="V107" s="3"/>
      <c r="W107" s="3"/>
      <c r="X107" s="3"/>
      <c r="Y107" s="3"/>
      <c r="Z107" s="3"/>
    </row>
    <row r="108" spans="1:26" ht="12.75">
      <c r="A108" s="3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O108" s="3"/>
      <c r="V108" s="3"/>
      <c r="W108" s="3"/>
      <c r="X108" s="3"/>
      <c r="Y108" s="3"/>
      <c r="Z108" s="3"/>
    </row>
    <row r="109" spans="1:26" ht="12.75">
      <c r="A109" s="3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O109" s="3"/>
      <c r="V109" s="3"/>
      <c r="W109" s="3"/>
      <c r="X109" s="3"/>
      <c r="Y109" s="3"/>
      <c r="Z109" s="3"/>
    </row>
    <row r="110" spans="1:26" ht="12.75">
      <c r="A110" s="3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O110" s="3"/>
      <c r="V110" s="3"/>
      <c r="W110" s="3"/>
      <c r="X110" s="3"/>
      <c r="Y110" s="3"/>
      <c r="Z110" s="3"/>
    </row>
    <row r="111" spans="1:26" ht="12.75">
      <c r="A111" s="3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O111" s="3"/>
      <c r="V111" s="3"/>
      <c r="W111" s="3"/>
      <c r="X111" s="3"/>
      <c r="Y111" s="3"/>
      <c r="Z111" s="3"/>
    </row>
    <row r="112" spans="1:26" ht="12.75">
      <c r="A112" s="3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O112" s="3"/>
      <c r="V112" s="3"/>
      <c r="W112" s="3"/>
      <c r="X112" s="3"/>
      <c r="Y112" s="3"/>
      <c r="Z112" s="3"/>
    </row>
    <row r="113" spans="1:26" ht="12.75">
      <c r="A113" s="3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O113" s="3"/>
      <c r="V113" s="3"/>
      <c r="W113" s="3"/>
      <c r="X113" s="3"/>
      <c r="Y113" s="3"/>
      <c r="Z113" s="3"/>
    </row>
    <row r="114" spans="1:26" ht="12.75">
      <c r="A114" s="3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O114" s="3"/>
      <c r="V114" s="3"/>
      <c r="W114" s="3"/>
      <c r="X114" s="3"/>
      <c r="Y114" s="3"/>
      <c r="Z114" s="3"/>
    </row>
    <row r="115" spans="1:26" ht="12.75">
      <c r="A115" s="3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O115" s="3"/>
      <c r="V115" s="3"/>
      <c r="W115" s="3"/>
      <c r="X115" s="3"/>
      <c r="Y115" s="3"/>
      <c r="Z115" s="3"/>
    </row>
    <row r="116" spans="1:26" ht="12.75">
      <c r="A116" s="3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O116" s="3"/>
      <c r="V116" s="3"/>
      <c r="W116" s="3"/>
      <c r="X116" s="3"/>
      <c r="Y116" s="3"/>
      <c r="Z116" s="3"/>
    </row>
    <row r="117" spans="1:26" ht="12.75">
      <c r="A117" s="3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O117" s="3"/>
      <c r="V117" s="3"/>
      <c r="W117" s="3"/>
      <c r="X117" s="3"/>
      <c r="Y117" s="3"/>
      <c r="Z117" s="3"/>
    </row>
    <row r="118" spans="1:26" ht="12.75">
      <c r="A118" s="3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O118" s="3"/>
      <c r="V118" s="3"/>
      <c r="W118" s="3"/>
      <c r="X118" s="3"/>
      <c r="Y118" s="3"/>
      <c r="Z118" s="3"/>
    </row>
    <row r="119" spans="1:26" ht="12.75">
      <c r="A119" s="3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O119" s="3"/>
      <c r="V119" s="3"/>
      <c r="W119" s="3"/>
      <c r="X119" s="3"/>
      <c r="Y119" s="3"/>
      <c r="Z119" s="3"/>
    </row>
    <row r="120" spans="1:26" ht="12.75">
      <c r="A120" s="3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O120" s="3"/>
      <c r="V120" s="3"/>
      <c r="W120" s="3"/>
      <c r="X120" s="3"/>
      <c r="Y120" s="3"/>
      <c r="Z120" s="3"/>
    </row>
    <row r="121" spans="1:26" ht="12.75">
      <c r="A121" s="3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O121" s="3"/>
      <c r="V121" s="3"/>
      <c r="W121" s="3"/>
      <c r="X121" s="3"/>
      <c r="Y121" s="3"/>
      <c r="Z121" s="3"/>
    </row>
    <row r="122" spans="1:26" ht="12.75">
      <c r="A122" s="3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O122" s="3"/>
      <c r="V122" s="3"/>
      <c r="W122" s="3"/>
      <c r="X122" s="3"/>
      <c r="Y122" s="3"/>
      <c r="Z122" s="3"/>
    </row>
    <row r="123" spans="1:26" ht="12.75">
      <c r="A123" s="3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O123" s="3"/>
      <c r="V123" s="3"/>
      <c r="W123" s="3"/>
      <c r="X123" s="3"/>
      <c r="Y123" s="3"/>
      <c r="Z123" s="3"/>
    </row>
    <row r="124" spans="1:26" ht="12.75">
      <c r="A124" s="3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O124" s="3"/>
      <c r="V124" s="3"/>
      <c r="W124" s="3"/>
      <c r="X124" s="3"/>
      <c r="Y124" s="3"/>
      <c r="Z124" s="3"/>
    </row>
    <row r="125" spans="1:26" ht="12.75">
      <c r="A125" s="3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O125" s="3"/>
      <c r="V125" s="3"/>
      <c r="W125" s="3"/>
      <c r="X125" s="3"/>
      <c r="Y125" s="3"/>
      <c r="Z125" s="3"/>
    </row>
    <row r="126" spans="1:26" ht="12.75">
      <c r="A126" s="3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O126" s="3"/>
      <c r="V126" s="3"/>
      <c r="W126" s="3"/>
      <c r="X126" s="3"/>
      <c r="Y126" s="3"/>
      <c r="Z126" s="3"/>
    </row>
    <row r="127" spans="1:26" ht="12.75">
      <c r="A127" s="3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O127" s="3"/>
      <c r="V127" s="3"/>
      <c r="W127" s="3"/>
      <c r="X127" s="3"/>
      <c r="Y127" s="3"/>
      <c r="Z127" s="3"/>
    </row>
    <row r="128" spans="1:26" ht="12.75">
      <c r="A128" s="3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O128" s="3"/>
      <c r="V128" s="3"/>
      <c r="W128" s="3"/>
      <c r="X128" s="3"/>
      <c r="Y128" s="3"/>
      <c r="Z128" s="3"/>
    </row>
    <row r="129" spans="1:26" ht="12.75">
      <c r="A129" s="3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O129" s="3"/>
      <c r="V129" s="3"/>
      <c r="W129" s="3"/>
      <c r="X129" s="3"/>
      <c r="Y129" s="3"/>
      <c r="Z129" s="3"/>
    </row>
    <row r="130" spans="1:26" ht="12.75">
      <c r="A130" s="3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O130" s="3"/>
      <c r="V130" s="3"/>
      <c r="W130" s="3"/>
      <c r="X130" s="3"/>
      <c r="Y130" s="3"/>
      <c r="Z130" s="3"/>
    </row>
    <row r="131" spans="1:26" ht="12.75">
      <c r="A131" s="3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O131" s="3"/>
      <c r="V131" s="3"/>
      <c r="W131" s="3"/>
      <c r="X131" s="3"/>
      <c r="Y131" s="3"/>
      <c r="Z131" s="3"/>
    </row>
    <row r="132" spans="1:26" ht="12.75">
      <c r="A132" s="3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O132" s="3"/>
      <c r="V132" s="3"/>
      <c r="W132" s="3"/>
      <c r="X132" s="3"/>
      <c r="Y132" s="3"/>
      <c r="Z132" s="3"/>
    </row>
    <row r="133" spans="1:26" ht="12.75">
      <c r="A133" s="3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O133" s="3"/>
      <c r="V133" s="3"/>
      <c r="W133" s="3"/>
      <c r="X133" s="3"/>
      <c r="Y133" s="3"/>
      <c r="Z133" s="3"/>
    </row>
    <row r="134" spans="1:26" ht="12.75">
      <c r="A134" s="3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O134" s="3"/>
      <c r="V134" s="3"/>
      <c r="W134" s="3"/>
      <c r="X134" s="3"/>
      <c r="Y134" s="3"/>
      <c r="Z134" s="3"/>
    </row>
    <row r="135" spans="1:26" ht="12.75">
      <c r="A135" s="3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O135" s="3"/>
      <c r="V135" s="3"/>
      <c r="W135" s="3"/>
      <c r="X135" s="3"/>
      <c r="Y135" s="3"/>
      <c r="Z135" s="3"/>
    </row>
    <row r="136" spans="1:26" ht="12.75">
      <c r="A136" s="3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O136" s="3"/>
      <c r="V136" s="3"/>
      <c r="W136" s="3"/>
      <c r="X136" s="3"/>
      <c r="Y136" s="3"/>
      <c r="Z136" s="3"/>
    </row>
    <row r="137" spans="1:26" ht="12.75">
      <c r="A137" s="3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O137" s="3"/>
      <c r="V137" s="3"/>
      <c r="W137" s="3"/>
      <c r="X137" s="3"/>
      <c r="Y137" s="3"/>
      <c r="Z137" s="3"/>
    </row>
    <row r="138" spans="1:26" ht="12.75">
      <c r="A138" s="3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O138" s="3"/>
      <c r="V138" s="3"/>
      <c r="W138" s="3"/>
      <c r="X138" s="3"/>
      <c r="Y138" s="3"/>
      <c r="Z138" s="3"/>
    </row>
    <row r="139" spans="1:26" ht="12.75">
      <c r="A139" s="3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O139" s="3"/>
      <c r="V139" s="3"/>
      <c r="W139" s="3"/>
      <c r="X139" s="3"/>
      <c r="Y139" s="3"/>
      <c r="Z139" s="3"/>
    </row>
    <row r="140" spans="1:26" ht="12.75">
      <c r="A140" s="3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O140" s="3"/>
      <c r="V140" s="3"/>
      <c r="W140" s="3"/>
      <c r="X140" s="3"/>
      <c r="Y140" s="3"/>
      <c r="Z140" s="3"/>
    </row>
    <row r="141" spans="1:26" ht="12.75">
      <c r="A141" s="3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O141" s="3"/>
      <c r="V141" s="3"/>
      <c r="W141" s="3"/>
      <c r="X141" s="3"/>
      <c r="Y141" s="3"/>
      <c r="Z141" s="3"/>
    </row>
    <row r="142" spans="1:26" ht="12.75">
      <c r="A142" s="3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O142" s="3"/>
      <c r="V142" s="3"/>
      <c r="W142" s="3"/>
      <c r="X142" s="3"/>
      <c r="Y142" s="3"/>
      <c r="Z142" s="3"/>
    </row>
    <row r="143" spans="1:26" ht="12.75">
      <c r="A143" s="3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O143" s="3"/>
      <c r="V143" s="3"/>
      <c r="W143" s="3"/>
      <c r="X143" s="3"/>
      <c r="Y143" s="3"/>
      <c r="Z143" s="3"/>
    </row>
    <row r="144" spans="1:26" ht="12.75">
      <c r="A144" s="3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O144" s="3"/>
      <c r="V144" s="3"/>
      <c r="W144" s="3"/>
      <c r="X144" s="3"/>
      <c r="Y144" s="3"/>
      <c r="Z144" s="3"/>
    </row>
    <row r="145" spans="1:26" ht="12.75">
      <c r="A145" s="3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O145" s="3"/>
      <c r="V145" s="3"/>
      <c r="W145" s="3"/>
      <c r="X145" s="3"/>
      <c r="Y145" s="3"/>
      <c r="Z145" s="3"/>
    </row>
    <row r="146" spans="1:26" ht="12.75">
      <c r="A146" s="3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O146" s="3"/>
      <c r="V146" s="3"/>
      <c r="W146" s="3"/>
      <c r="X146" s="3"/>
      <c r="Y146" s="3"/>
      <c r="Z146" s="3"/>
    </row>
    <row r="147" spans="1:26" ht="12.75">
      <c r="A147" s="3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O147" s="3"/>
      <c r="V147" s="3"/>
      <c r="W147" s="3"/>
      <c r="X147" s="3"/>
      <c r="Y147" s="3"/>
      <c r="Z147" s="3"/>
    </row>
    <row r="148" spans="1:26" ht="12.75">
      <c r="A148" s="3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O148" s="3"/>
      <c r="V148" s="3"/>
      <c r="W148" s="3"/>
      <c r="X148" s="3"/>
      <c r="Y148" s="3"/>
      <c r="Z148" s="3"/>
    </row>
    <row r="149" spans="1:26" ht="12.75">
      <c r="A149" s="3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O149" s="3"/>
      <c r="V149" s="3"/>
      <c r="W149" s="3"/>
      <c r="X149" s="3"/>
      <c r="Y149" s="3"/>
      <c r="Z149" s="3"/>
    </row>
    <row r="150" spans="1:26" ht="12.75">
      <c r="A150" s="3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O150" s="3"/>
      <c r="V150" s="3"/>
      <c r="W150" s="3"/>
      <c r="X150" s="3"/>
      <c r="Y150" s="3"/>
      <c r="Z150" s="3"/>
    </row>
    <row r="151" spans="1:26" ht="12.75">
      <c r="A151" s="3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O151" s="3"/>
      <c r="V151" s="3"/>
      <c r="W151" s="3"/>
      <c r="X151" s="3"/>
      <c r="Y151" s="3"/>
      <c r="Z151" s="3"/>
    </row>
    <row r="152" spans="1:26" ht="12.75">
      <c r="A152" s="3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O152" s="3"/>
      <c r="V152" s="3"/>
      <c r="W152" s="3"/>
      <c r="X152" s="3"/>
      <c r="Y152" s="3"/>
      <c r="Z152" s="3"/>
    </row>
    <row r="153" spans="1:26" ht="12.75">
      <c r="A153" s="3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O153" s="3"/>
      <c r="V153" s="3"/>
      <c r="W153" s="3"/>
      <c r="X153" s="3"/>
      <c r="Y153" s="3"/>
      <c r="Z153" s="3"/>
    </row>
    <row r="154" spans="1:26" ht="12.75">
      <c r="A154" s="3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O154" s="3"/>
      <c r="V154" s="3"/>
      <c r="W154" s="3"/>
      <c r="X154" s="3"/>
      <c r="Y154" s="3"/>
      <c r="Z154" s="3"/>
    </row>
    <row r="155" spans="1:26" ht="12.75">
      <c r="A155" s="3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O155" s="3"/>
      <c r="V155" s="3"/>
      <c r="W155" s="3"/>
      <c r="X155" s="3"/>
      <c r="Y155" s="3"/>
      <c r="Z155" s="3"/>
    </row>
    <row r="156" spans="1:26" ht="12.75">
      <c r="A156" s="3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O156" s="3"/>
      <c r="V156" s="3"/>
      <c r="W156" s="3"/>
      <c r="X156" s="3"/>
      <c r="Y156" s="3"/>
      <c r="Z156" s="3"/>
    </row>
    <row r="157" spans="1:26" ht="12.75">
      <c r="A157" s="3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O157" s="3"/>
      <c r="V157" s="3"/>
      <c r="W157" s="3"/>
      <c r="X157" s="3"/>
      <c r="Y157" s="3"/>
      <c r="Z157" s="3"/>
    </row>
    <row r="158" spans="1:26" ht="12.75">
      <c r="A158" s="3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O158" s="3"/>
      <c r="V158" s="3"/>
      <c r="W158" s="3"/>
      <c r="X158" s="3"/>
      <c r="Y158" s="3"/>
      <c r="Z158" s="3"/>
    </row>
    <row r="159" spans="1:26" ht="12.75">
      <c r="A159" s="3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O159" s="3"/>
      <c r="V159" s="3"/>
      <c r="W159" s="3"/>
      <c r="X159" s="3"/>
      <c r="Y159" s="3"/>
      <c r="Z159" s="3"/>
    </row>
    <row r="160" spans="1:26" ht="12.75">
      <c r="A160" s="3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O160" s="3"/>
      <c r="V160" s="3"/>
      <c r="W160" s="3"/>
      <c r="X160" s="3"/>
      <c r="Y160" s="3"/>
      <c r="Z160" s="3"/>
    </row>
    <row r="161" spans="1:26" ht="12.75">
      <c r="A161" s="3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O161" s="3"/>
      <c r="V161" s="3"/>
      <c r="W161" s="3"/>
      <c r="X161" s="3"/>
      <c r="Y161" s="3"/>
      <c r="Z161" s="3"/>
    </row>
    <row r="162" spans="1:26" ht="12.75">
      <c r="A162" s="3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O162" s="3"/>
      <c r="V162" s="3"/>
      <c r="W162" s="3"/>
      <c r="X162" s="3"/>
      <c r="Y162" s="3"/>
      <c r="Z162" s="3"/>
    </row>
    <row r="163" spans="1:26" ht="12.75">
      <c r="A163" s="3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O163" s="3"/>
      <c r="V163" s="3"/>
      <c r="W163" s="3"/>
      <c r="X163" s="3"/>
      <c r="Y163" s="3"/>
      <c r="Z163" s="3"/>
    </row>
    <row r="164" spans="1:26" ht="12.75">
      <c r="A164" s="3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O164" s="3"/>
      <c r="V164" s="3"/>
      <c r="W164" s="3"/>
      <c r="X164" s="3"/>
      <c r="Y164" s="3"/>
      <c r="Z164" s="3"/>
    </row>
    <row r="165" spans="1:26" ht="12.75">
      <c r="A165" s="3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O165" s="3"/>
      <c r="V165" s="3"/>
      <c r="W165" s="3"/>
      <c r="X165" s="3"/>
      <c r="Y165" s="3"/>
      <c r="Z165" s="3"/>
    </row>
    <row r="166" spans="1:26" ht="12.75">
      <c r="A166" s="3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O166" s="3"/>
      <c r="V166" s="3"/>
      <c r="W166" s="3"/>
      <c r="X166" s="3"/>
      <c r="Y166" s="3"/>
      <c r="Z166" s="3"/>
    </row>
    <row r="167" spans="1:26" ht="12.75">
      <c r="A167" s="3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O167" s="3"/>
      <c r="V167" s="3"/>
      <c r="W167" s="3"/>
      <c r="X167" s="3"/>
      <c r="Y167" s="3"/>
      <c r="Z167" s="3"/>
    </row>
    <row r="168" spans="1:26" ht="12.75">
      <c r="A168" s="3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O168" s="3"/>
      <c r="V168" s="3"/>
      <c r="W168" s="3"/>
      <c r="X168" s="3"/>
      <c r="Y168" s="3"/>
      <c r="Z168" s="3"/>
    </row>
    <row r="169" spans="1:26" ht="12.75">
      <c r="A169" s="3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O169" s="3"/>
      <c r="V169" s="3"/>
      <c r="W169" s="3"/>
      <c r="X169" s="3"/>
      <c r="Y169" s="3"/>
      <c r="Z169" s="3"/>
    </row>
    <row r="170" spans="1:26" ht="12.75">
      <c r="A170" s="3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O170" s="3"/>
      <c r="V170" s="3"/>
      <c r="W170" s="3"/>
      <c r="X170" s="3"/>
      <c r="Y170" s="3"/>
      <c r="Z170" s="3"/>
    </row>
    <row r="171" spans="1:26" ht="12.75">
      <c r="A171" s="3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O171" s="3"/>
      <c r="V171" s="3"/>
      <c r="W171" s="3"/>
      <c r="X171" s="3"/>
      <c r="Y171" s="3"/>
      <c r="Z171" s="3"/>
    </row>
    <row r="172" spans="1:26" ht="12.75">
      <c r="A172" s="3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O172" s="3"/>
      <c r="V172" s="3"/>
      <c r="W172" s="3"/>
      <c r="X172" s="3"/>
      <c r="Y172" s="3"/>
      <c r="Z172" s="3"/>
    </row>
    <row r="173" spans="1:26" ht="12.75">
      <c r="A173" s="3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O173" s="3"/>
      <c r="V173" s="3"/>
      <c r="W173" s="3"/>
      <c r="X173" s="3"/>
      <c r="Y173" s="3"/>
      <c r="Z173" s="3"/>
    </row>
    <row r="174" spans="1:26" ht="12.75">
      <c r="A174" s="3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O174" s="3"/>
      <c r="V174" s="3"/>
      <c r="W174" s="3"/>
      <c r="X174" s="3"/>
      <c r="Y174" s="3"/>
      <c r="Z174" s="3"/>
    </row>
    <row r="175" spans="1:26" ht="12.75">
      <c r="A175" s="3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O175" s="3"/>
      <c r="V175" s="3"/>
      <c r="W175" s="3"/>
      <c r="X175" s="3"/>
      <c r="Y175" s="3"/>
      <c r="Z175" s="3"/>
    </row>
    <row r="176" spans="1:26" ht="12.75">
      <c r="A176" s="3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O176" s="3"/>
      <c r="V176" s="3"/>
      <c r="W176" s="3"/>
      <c r="X176" s="3"/>
      <c r="Y176" s="3"/>
      <c r="Z176" s="3"/>
    </row>
    <row r="177" spans="1:26" ht="12.75">
      <c r="A177" s="3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O177" s="3"/>
      <c r="V177" s="3"/>
      <c r="W177" s="3"/>
      <c r="X177" s="3"/>
      <c r="Y177" s="3"/>
      <c r="Z177" s="3"/>
    </row>
    <row r="178" spans="1:26" ht="12.75">
      <c r="A178" s="3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O178" s="3"/>
      <c r="V178" s="3"/>
      <c r="W178" s="3"/>
      <c r="X178" s="3"/>
      <c r="Y178" s="3"/>
      <c r="Z178" s="3"/>
    </row>
    <row r="179" spans="1:26" ht="12.75">
      <c r="A179" s="3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O179" s="3"/>
      <c r="V179" s="3"/>
      <c r="W179" s="3"/>
      <c r="X179" s="3"/>
      <c r="Y179" s="3"/>
      <c r="Z179" s="3"/>
    </row>
    <row r="180" spans="1:26" ht="12.75">
      <c r="A180" s="3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O180" s="3"/>
      <c r="V180" s="3"/>
      <c r="W180" s="3"/>
      <c r="X180" s="3"/>
      <c r="Y180" s="3"/>
      <c r="Z180" s="3"/>
    </row>
    <row r="181" spans="1:26" ht="12.75">
      <c r="A181" s="3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O181" s="3"/>
      <c r="V181" s="3"/>
      <c r="W181" s="3"/>
      <c r="X181" s="3"/>
      <c r="Y181" s="3"/>
      <c r="Z181" s="3"/>
    </row>
    <row r="182" spans="1:26" ht="12.75">
      <c r="A182" s="3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O182" s="3"/>
      <c r="V182" s="3"/>
      <c r="W182" s="3"/>
      <c r="X182" s="3"/>
      <c r="Y182" s="3"/>
      <c r="Z182" s="3"/>
    </row>
    <row r="183" spans="1:26" ht="12.75">
      <c r="A183" s="3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O183" s="3"/>
      <c r="V183" s="3"/>
      <c r="W183" s="3"/>
      <c r="X183" s="3"/>
      <c r="Y183" s="3"/>
      <c r="Z183" s="3"/>
    </row>
    <row r="184" spans="1:26" ht="12.75">
      <c r="A184" s="3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O184" s="3"/>
      <c r="V184" s="3"/>
      <c r="W184" s="3"/>
      <c r="X184" s="3"/>
      <c r="Y184" s="3"/>
      <c r="Z184" s="3"/>
    </row>
    <row r="185" spans="1:26" ht="12.75">
      <c r="A185" s="3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O185" s="3"/>
      <c r="V185" s="3"/>
      <c r="W185" s="3"/>
      <c r="X185" s="3"/>
      <c r="Y185" s="3"/>
      <c r="Z185" s="3"/>
    </row>
    <row r="186" spans="1:26" ht="12.75">
      <c r="A186" s="3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O186" s="3"/>
      <c r="V186" s="3"/>
      <c r="W186" s="3"/>
      <c r="X186" s="3"/>
      <c r="Y186" s="3"/>
      <c r="Z186" s="3"/>
    </row>
    <row r="187" spans="1:26" ht="12.75">
      <c r="A187" s="3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O187" s="3"/>
      <c r="V187" s="3"/>
      <c r="W187" s="3"/>
      <c r="X187" s="3"/>
      <c r="Y187" s="3"/>
      <c r="Z187" s="3"/>
    </row>
    <row r="188" spans="1:26" ht="12.75">
      <c r="A188" s="3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O188" s="3"/>
      <c r="V188" s="3"/>
      <c r="W188" s="3"/>
      <c r="X188" s="3"/>
      <c r="Y188" s="3"/>
      <c r="Z188" s="3"/>
    </row>
    <row r="189" spans="1:26" ht="12.75">
      <c r="A189" s="3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O189" s="3"/>
      <c r="V189" s="3"/>
      <c r="W189" s="3"/>
      <c r="X189" s="3"/>
      <c r="Y189" s="3"/>
      <c r="Z189" s="3"/>
    </row>
    <row r="190" spans="1:26" ht="12.75">
      <c r="A190" s="3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O190" s="3"/>
      <c r="V190" s="3"/>
      <c r="W190" s="3"/>
      <c r="X190" s="3"/>
      <c r="Y190" s="3"/>
      <c r="Z190" s="3"/>
    </row>
    <row r="191" spans="1:26" ht="12.75">
      <c r="A191" s="3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O191" s="3"/>
      <c r="V191" s="3"/>
      <c r="W191" s="3"/>
      <c r="X191" s="3"/>
      <c r="Y191" s="3"/>
      <c r="Z191" s="3"/>
    </row>
    <row r="192" spans="1:26" ht="12.75">
      <c r="A192" s="3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O192" s="3"/>
      <c r="V192" s="3"/>
      <c r="W192" s="3"/>
      <c r="X192" s="3"/>
      <c r="Y192" s="3"/>
      <c r="Z192" s="3"/>
    </row>
    <row r="193" spans="1:26" ht="12.75">
      <c r="A193" s="3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O193" s="3"/>
      <c r="V193" s="3"/>
      <c r="W193" s="3"/>
      <c r="X193" s="3"/>
      <c r="Y193" s="3"/>
      <c r="Z193" s="3"/>
    </row>
    <row r="194" spans="1:26" ht="12.75">
      <c r="A194" s="3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O194" s="3"/>
      <c r="V194" s="3"/>
      <c r="W194" s="3"/>
      <c r="X194" s="3"/>
      <c r="Y194" s="3"/>
      <c r="Z194" s="3"/>
    </row>
    <row r="195" spans="1:26" ht="12.75">
      <c r="A195" s="3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O195" s="3"/>
      <c r="V195" s="3"/>
      <c r="W195" s="3"/>
      <c r="X195" s="3"/>
      <c r="Y195" s="3"/>
      <c r="Z195" s="3"/>
    </row>
    <row r="196" spans="1:26" ht="12.75">
      <c r="A196" s="3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O196" s="3"/>
      <c r="V196" s="3"/>
      <c r="W196" s="3"/>
      <c r="X196" s="3"/>
      <c r="Y196" s="3"/>
      <c r="Z196" s="3"/>
    </row>
    <row r="197" spans="1:26" ht="12.75">
      <c r="A197" s="3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O197" s="3"/>
      <c r="V197" s="3"/>
      <c r="W197" s="3"/>
      <c r="X197" s="3"/>
      <c r="Y197" s="3"/>
      <c r="Z197" s="3"/>
    </row>
    <row r="198" spans="1:26" ht="12.75">
      <c r="A198" s="3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O198" s="3"/>
      <c r="V198" s="3"/>
      <c r="W198" s="3"/>
      <c r="X198" s="3"/>
      <c r="Y198" s="3"/>
      <c r="Z198" s="3"/>
    </row>
    <row r="199" spans="1:26" ht="12.75">
      <c r="A199" s="3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O199" s="3"/>
      <c r="V199" s="3"/>
      <c r="W199" s="3"/>
      <c r="X199" s="3"/>
      <c r="Y199" s="3"/>
      <c r="Z199" s="3"/>
    </row>
    <row r="200" spans="1:26" ht="12.75">
      <c r="A200" s="3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O200" s="3"/>
      <c r="V200" s="3"/>
      <c r="W200" s="3"/>
      <c r="X200" s="3"/>
      <c r="Y200" s="3"/>
      <c r="Z200" s="3"/>
    </row>
    <row r="201" spans="1:26" ht="12.75">
      <c r="A201" s="3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O201" s="3"/>
      <c r="V201" s="3"/>
      <c r="W201" s="3"/>
      <c r="X201" s="3"/>
      <c r="Y201" s="3"/>
      <c r="Z201" s="3"/>
    </row>
    <row r="202" spans="1:26" ht="12.75">
      <c r="A202" s="3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O202" s="3"/>
      <c r="V202" s="3"/>
      <c r="W202" s="3"/>
      <c r="X202" s="3"/>
      <c r="Y202" s="3"/>
      <c r="Z202" s="3"/>
    </row>
    <row r="203" spans="1:26" ht="12.75">
      <c r="A203" s="3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O203" s="3"/>
      <c r="V203" s="3"/>
      <c r="W203" s="3"/>
      <c r="X203" s="3"/>
      <c r="Y203" s="3"/>
      <c r="Z203" s="3"/>
    </row>
    <row r="204" spans="1:26" ht="12.75">
      <c r="A204" s="3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O204" s="3"/>
      <c r="V204" s="3"/>
      <c r="W204" s="3"/>
      <c r="X204" s="3"/>
      <c r="Y204" s="3"/>
      <c r="Z204" s="3"/>
    </row>
    <row r="205" spans="1:26" ht="12.75">
      <c r="A205" s="3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O205" s="3"/>
      <c r="V205" s="3"/>
      <c r="W205" s="3"/>
      <c r="X205" s="3"/>
      <c r="Y205" s="3"/>
      <c r="Z205" s="3"/>
    </row>
    <row r="206" spans="1:26" ht="12.75">
      <c r="A206" s="3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O206" s="3"/>
      <c r="V206" s="3"/>
      <c r="W206" s="3"/>
      <c r="X206" s="3"/>
      <c r="Y206" s="3"/>
      <c r="Z206" s="3"/>
    </row>
    <row r="207" spans="1:26" ht="12.75">
      <c r="A207" s="3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O207" s="3"/>
      <c r="V207" s="3"/>
      <c r="W207" s="3"/>
      <c r="X207" s="3"/>
      <c r="Y207" s="3"/>
      <c r="Z207" s="3"/>
    </row>
    <row r="208" spans="1:26" ht="12.75">
      <c r="A208" s="3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O208" s="3"/>
      <c r="V208" s="3"/>
      <c r="W208" s="3"/>
      <c r="X208" s="3"/>
      <c r="Y208" s="3"/>
      <c r="Z208" s="3"/>
    </row>
    <row r="209" spans="1:26" ht="12.75">
      <c r="A209" s="3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O209" s="3"/>
      <c r="V209" s="3"/>
      <c r="W209" s="3"/>
      <c r="X209" s="3"/>
      <c r="Y209" s="3"/>
      <c r="Z209" s="3"/>
    </row>
    <row r="210" spans="1:26" ht="12.75">
      <c r="A210" s="3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O210" s="3"/>
      <c r="V210" s="3"/>
      <c r="W210" s="3"/>
      <c r="X210" s="3"/>
      <c r="Y210" s="3"/>
      <c r="Z210" s="3"/>
    </row>
    <row r="211" spans="1:26" ht="12.75">
      <c r="A211" s="3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O211" s="3"/>
      <c r="V211" s="3"/>
      <c r="W211" s="3"/>
      <c r="X211" s="3"/>
      <c r="Y211" s="3"/>
      <c r="Z211" s="3"/>
    </row>
    <row r="212" spans="1:26" ht="12.75">
      <c r="A212" s="3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O212" s="3"/>
      <c r="V212" s="3"/>
      <c r="W212" s="3"/>
      <c r="X212" s="3"/>
      <c r="Y212" s="3"/>
      <c r="Z212" s="3"/>
    </row>
    <row r="213" spans="1:26" ht="12.75">
      <c r="A213" s="3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O213" s="3"/>
      <c r="V213" s="3"/>
      <c r="W213" s="3"/>
      <c r="X213" s="3"/>
      <c r="Y213" s="3"/>
      <c r="Z213" s="3"/>
    </row>
    <row r="214" spans="1:26" ht="12.75">
      <c r="A214" s="3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O214" s="3"/>
      <c r="V214" s="3"/>
      <c r="W214" s="3"/>
      <c r="X214" s="3"/>
      <c r="Y214" s="3"/>
      <c r="Z214" s="3"/>
    </row>
    <row r="215" spans="1:26" ht="12.75">
      <c r="A215" s="3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O215" s="3"/>
      <c r="V215" s="3"/>
      <c r="W215" s="3"/>
      <c r="X215" s="3"/>
      <c r="Y215" s="3"/>
      <c r="Z215" s="3"/>
    </row>
    <row r="216" spans="1:26" ht="12.75">
      <c r="A216" s="3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O216" s="3"/>
      <c r="V216" s="3"/>
      <c r="W216" s="3"/>
      <c r="X216" s="3"/>
      <c r="Y216" s="3"/>
      <c r="Z216" s="3"/>
    </row>
    <row r="217" spans="1:26" ht="12.75">
      <c r="A217" s="3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O217" s="3"/>
      <c r="V217" s="3"/>
      <c r="W217" s="3"/>
      <c r="X217" s="3"/>
      <c r="Y217" s="3"/>
      <c r="Z217" s="3"/>
    </row>
    <row r="218" spans="1:26" ht="12.75">
      <c r="A218" s="3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O218" s="3"/>
      <c r="V218" s="3"/>
      <c r="W218" s="3"/>
      <c r="X218" s="3"/>
      <c r="Y218" s="3"/>
      <c r="Z218" s="3"/>
    </row>
    <row r="219" spans="1:26" ht="12.75">
      <c r="A219" s="3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O219" s="3"/>
      <c r="V219" s="3"/>
      <c r="W219" s="3"/>
      <c r="X219" s="3"/>
      <c r="Y219" s="3"/>
      <c r="Z219" s="3"/>
    </row>
    <row r="220" spans="1:26" ht="12.75">
      <c r="A220" s="3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O220" s="3"/>
      <c r="V220" s="3"/>
      <c r="W220" s="3"/>
      <c r="X220" s="3"/>
      <c r="Y220" s="3"/>
      <c r="Z220" s="3"/>
    </row>
    <row r="221" spans="1:26" ht="12.75">
      <c r="A221" s="3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O221" s="3"/>
      <c r="V221" s="3"/>
      <c r="W221" s="3"/>
      <c r="X221" s="3"/>
      <c r="Y221" s="3"/>
      <c r="Z221" s="3"/>
    </row>
    <row r="222" spans="1:26" ht="12.75">
      <c r="A222" s="3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O222" s="3"/>
      <c r="V222" s="3"/>
      <c r="W222" s="3"/>
      <c r="X222" s="3"/>
      <c r="Y222" s="3"/>
      <c r="Z222" s="3"/>
    </row>
    <row r="223" spans="1:26" ht="12.75">
      <c r="A223" s="3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O223" s="3"/>
      <c r="V223" s="3"/>
      <c r="W223" s="3"/>
      <c r="X223" s="3"/>
      <c r="Y223" s="3"/>
      <c r="Z223" s="3"/>
    </row>
    <row r="224" spans="1:26" ht="12.75">
      <c r="A224" s="3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O224" s="3"/>
      <c r="V224" s="3"/>
      <c r="W224" s="3"/>
      <c r="X224" s="3"/>
      <c r="Y224" s="3"/>
      <c r="Z224" s="3"/>
    </row>
    <row r="225" spans="1:26" ht="12.75">
      <c r="A225" s="3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O225" s="3"/>
      <c r="V225" s="3"/>
      <c r="W225" s="3"/>
      <c r="X225" s="3"/>
      <c r="Y225" s="3"/>
      <c r="Z225" s="3"/>
    </row>
    <row r="226" spans="1:26" ht="12.75">
      <c r="A226" s="3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O226" s="3"/>
      <c r="V226" s="3"/>
      <c r="W226" s="3"/>
      <c r="X226" s="3"/>
      <c r="Y226" s="3"/>
      <c r="Z226" s="3"/>
    </row>
    <row r="227" spans="1:26" ht="12.75">
      <c r="A227" s="3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O227" s="3"/>
      <c r="V227" s="3"/>
      <c r="W227" s="3"/>
      <c r="X227" s="3"/>
      <c r="Y227" s="3"/>
      <c r="Z227" s="3"/>
    </row>
    <row r="228" spans="1:26" ht="12.75">
      <c r="A228" s="3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O228" s="3"/>
      <c r="V228" s="3"/>
      <c r="W228" s="3"/>
      <c r="X228" s="3"/>
      <c r="Y228" s="3"/>
      <c r="Z228" s="3"/>
    </row>
    <row r="229" spans="1:26" ht="12.75">
      <c r="A229" s="3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O229" s="3"/>
      <c r="V229" s="3"/>
      <c r="W229" s="3"/>
      <c r="X229" s="3"/>
      <c r="Y229" s="3"/>
      <c r="Z229" s="3"/>
    </row>
    <row r="230" spans="1:26" ht="12.75">
      <c r="A230" s="3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O230" s="3"/>
      <c r="V230" s="3"/>
      <c r="W230" s="3"/>
      <c r="X230" s="3"/>
      <c r="Y230" s="3"/>
      <c r="Z230" s="3"/>
    </row>
    <row r="231" spans="1:26" ht="12.75">
      <c r="A231" s="3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O231" s="3"/>
      <c r="V231" s="3"/>
      <c r="W231" s="3"/>
      <c r="X231" s="3"/>
      <c r="Y231" s="3"/>
      <c r="Z231" s="3"/>
    </row>
    <row r="232" spans="1:26" ht="12.75">
      <c r="A232" s="3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O232" s="3"/>
      <c r="V232" s="3"/>
      <c r="W232" s="3"/>
      <c r="X232" s="3"/>
      <c r="Y232" s="3"/>
      <c r="Z232" s="3"/>
    </row>
    <row r="233" spans="1:26" ht="12.75">
      <c r="A233" s="3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O233" s="3"/>
      <c r="V233" s="3"/>
      <c r="W233" s="3"/>
      <c r="X233" s="3"/>
      <c r="Y233" s="3"/>
      <c r="Z233" s="3"/>
    </row>
    <row r="234" spans="1:26" ht="12.75">
      <c r="A234" s="3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O234" s="3"/>
      <c r="V234" s="3"/>
      <c r="W234" s="3"/>
      <c r="X234" s="3"/>
      <c r="Y234" s="3"/>
      <c r="Z234" s="3"/>
    </row>
    <row r="235" spans="1:26" ht="12.75">
      <c r="A235" s="3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O235" s="3"/>
      <c r="V235" s="3"/>
      <c r="W235" s="3"/>
      <c r="X235" s="3"/>
      <c r="Y235" s="3"/>
      <c r="Z235" s="3"/>
    </row>
    <row r="236" spans="1:26" ht="12.75">
      <c r="A236" s="3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O236" s="3"/>
      <c r="V236" s="3"/>
      <c r="W236" s="3"/>
      <c r="X236" s="3"/>
      <c r="Y236" s="3"/>
      <c r="Z236" s="3"/>
    </row>
    <row r="237" spans="1:26" ht="12.75">
      <c r="A237" s="3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O237" s="3"/>
      <c r="V237" s="3"/>
      <c r="W237" s="3"/>
      <c r="X237" s="3"/>
      <c r="Y237" s="3"/>
      <c r="Z237" s="3"/>
    </row>
    <row r="238" spans="1:26" ht="12.75">
      <c r="A238" s="3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O238" s="3"/>
      <c r="V238" s="3"/>
      <c r="W238" s="3"/>
      <c r="X238" s="3"/>
      <c r="Y238" s="3"/>
      <c r="Z238" s="3"/>
    </row>
    <row r="239" spans="1:26" ht="12.75">
      <c r="A239" s="3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O239" s="3"/>
      <c r="V239" s="3"/>
      <c r="W239" s="3"/>
      <c r="X239" s="3"/>
      <c r="Y239" s="3"/>
      <c r="Z239" s="3"/>
    </row>
    <row r="240" spans="1:26" ht="12.75">
      <c r="A240" s="3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O240" s="3"/>
      <c r="V240" s="3"/>
      <c r="W240" s="3"/>
      <c r="X240" s="3"/>
      <c r="Y240" s="3"/>
      <c r="Z240" s="3"/>
    </row>
    <row r="241" spans="1:26" ht="12.75">
      <c r="A241" s="3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O241" s="3"/>
      <c r="V241" s="3"/>
      <c r="W241" s="3"/>
      <c r="X241" s="3"/>
      <c r="Y241" s="3"/>
      <c r="Z241" s="3"/>
    </row>
    <row r="242" spans="1:26" ht="12.75">
      <c r="A242" s="3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O242" s="3"/>
      <c r="V242" s="3"/>
      <c r="W242" s="3"/>
      <c r="X242" s="3"/>
      <c r="Y242" s="3"/>
      <c r="Z242" s="3"/>
    </row>
    <row r="243" spans="1:26" ht="12.75">
      <c r="A243" s="3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O243" s="3"/>
      <c r="V243" s="3"/>
      <c r="W243" s="3"/>
      <c r="X243" s="3"/>
      <c r="Y243" s="3"/>
      <c r="Z243" s="3"/>
    </row>
    <row r="244" spans="1:26" ht="12.75">
      <c r="A244" s="3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O244" s="3"/>
      <c r="V244" s="3"/>
      <c r="W244" s="3"/>
      <c r="X244" s="3"/>
      <c r="Y244" s="3"/>
      <c r="Z244" s="3"/>
    </row>
    <row r="245" spans="1:26" ht="12.75">
      <c r="A245" s="3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O245" s="3"/>
      <c r="V245" s="3"/>
      <c r="W245" s="3"/>
      <c r="X245" s="3"/>
      <c r="Y245" s="3"/>
      <c r="Z245" s="3"/>
    </row>
    <row r="246" spans="1:26" ht="12.75">
      <c r="A246" s="3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O246" s="3"/>
      <c r="V246" s="3"/>
      <c r="W246" s="3"/>
      <c r="X246" s="3"/>
      <c r="Y246" s="3"/>
      <c r="Z246" s="3"/>
    </row>
    <row r="247" spans="1:26" ht="12.75">
      <c r="A247" s="3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O247" s="3"/>
      <c r="V247" s="3"/>
      <c r="W247" s="3"/>
      <c r="X247" s="3"/>
      <c r="Y247" s="3"/>
      <c r="Z247" s="3"/>
    </row>
    <row r="248" spans="1:26" ht="12.75">
      <c r="A248" s="3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O248" s="3"/>
      <c r="V248" s="3"/>
      <c r="W248" s="3"/>
      <c r="X248" s="3"/>
      <c r="Y248" s="3"/>
      <c r="Z248" s="3"/>
    </row>
    <row r="249" spans="1:26" ht="12.75">
      <c r="A249" s="3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O249" s="3"/>
      <c r="V249" s="3"/>
      <c r="W249" s="3"/>
      <c r="X249" s="3"/>
      <c r="Y249" s="3"/>
      <c r="Z249" s="3"/>
    </row>
    <row r="250" spans="1:26" ht="12.75">
      <c r="A250" s="3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O250" s="3"/>
      <c r="V250" s="3"/>
      <c r="W250" s="3"/>
      <c r="X250" s="3"/>
      <c r="Y250" s="3"/>
      <c r="Z250" s="3"/>
    </row>
    <row r="251" spans="1:26" ht="12.75">
      <c r="A251" s="3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O251" s="3"/>
      <c r="V251" s="3"/>
      <c r="W251" s="3"/>
      <c r="X251" s="3"/>
      <c r="Y251" s="3"/>
      <c r="Z251" s="3"/>
    </row>
    <row r="252" spans="1:26" ht="12.75">
      <c r="A252" s="3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O252" s="3"/>
      <c r="V252" s="3"/>
      <c r="W252" s="3"/>
      <c r="X252" s="3"/>
      <c r="Y252" s="3"/>
      <c r="Z252" s="3"/>
    </row>
    <row r="253" spans="1:26" ht="12.75">
      <c r="A253" s="3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O253" s="3"/>
      <c r="V253" s="3"/>
      <c r="W253" s="3"/>
      <c r="X253" s="3"/>
      <c r="Y253" s="3"/>
      <c r="Z253" s="3"/>
    </row>
    <row r="254" spans="1:26" ht="12.75">
      <c r="A254" s="3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O254" s="3"/>
      <c r="V254" s="3"/>
      <c r="W254" s="3"/>
      <c r="X254" s="3"/>
      <c r="Y254" s="3"/>
      <c r="Z254" s="3"/>
    </row>
    <row r="255" spans="1:26" ht="12.75">
      <c r="A255" s="3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O255" s="3"/>
      <c r="V255" s="3"/>
      <c r="W255" s="3"/>
      <c r="X255" s="3"/>
      <c r="Y255" s="3"/>
      <c r="Z255" s="3"/>
    </row>
    <row r="256" spans="1:26" ht="12.75">
      <c r="A256" s="3"/>
      <c r="D256" s="22"/>
      <c r="E256" s="22"/>
      <c r="F256" s="22"/>
      <c r="G256" s="22"/>
      <c r="H256" s="22"/>
      <c r="I256" s="22"/>
      <c r="J256" s="22"/>
      <c r="K256" s="22"/>
      <c r="L256" s="22"/>
      <c r="M256" s="22"/>
      <c r="O256" s="3"/>
      <c r="V256" s="3"/>
      <c r="W256" s="3"/>
      <c r="X256" s="3"/>
      <c r="Y256" s="3"/>
      <c r="Z256" s="3"/>
    </row>
    <row r="257" spans="1:26" ht="12.75">
      <c r="A257" s="3"/>
      <c r="D257" s="22"/>
      <c r="E257" s="22"/>
      <c r="F257" s="22"/>
      <c r="G257" s="22"/>
      <c r="H257" s="22"/>
      <c r="I257" s="22"/>
      <c r="J257" s="22"/>
      <c r="K257" s="22"/>
      <c r="L257" s="22"/>
      <c r="M257" s="22"/>
      <c r="O257" s="3"/>
      <c r="V257" s="3"/>
      <c r="W257" s="3"/>
      <c r="X257" s="3"/>
      <c r="Y257" s="3"/>
      <c r="Z257" s="3"/>
    </row>
    <row r="258" spans="1:26" ht="12.75">
      <c r="A258" s="3"/>
      <c r="D258" s="22"/>
      <c r="E258" s="22"/>
      <c r="F258" s="22"/>
      <c r="G258" s="22"/>
      <c r="H258" s="22"/>
      <c r="I258" s="22"/>
      <c r="J258" s="22"/>
      <c r="K258" s="22"/>
      <c r="L258" s="22"/>
      <c r="M258" s="22"/>
      <c r="O258" s="3"/>
      <c r="V258" s="3"/>
      <c r="W258" s="3"/>
      <c r="X258" s="3"/>
      <c r="Y258" s="3"/>
      <c r="Z258" s="3"/>
    </row>
    <row r="259" spans="1:26" ht="12.75">
      <c r="A259" s="3"/>
      <c r="D259" s="22"/>
      <c r="E259" s="22"/>
      <c r="F259" s="22"/>
      <c r="G259" s="22"/>
      <c r="H259" s="22"/>
      <c r="I259" s="22"/>
      <c r="J259" s="22"/>
      <c r="K259" s="22"/>
      <c r="L259" s="22"/>
      <c r="M259" s="22"/>
      <c r="O259" s="3"/>
      <c r="V259" s="3"/>
      <c r="W259" s="3"/>
      <c r="X259" s="3"/>
      <c r="Y259" s="3"/>
      <c r="Z259" s="3"/>
    </row>
    <row r="260" spans="1:26" ht="12.75">
      <c r="A260" s="3"/>
      <c r="D260" s="22"/>
      <c r="E260" s="22"/>
      <c r="F260" s="22"/>
      <c r="G260" s="22"/>
      <c r="H260" s="22"/>
      <c r="I260" s="22"/>
      <c r="J260" s="22"/>
      <c r="K260" s="22"/>
      <c r="L260" s="22"/>
      <c r="M260" s="22"/>
      <c r="O260" s="3"/>
      <c r="V260" s="3"/>
      <c r="W260" s="3"/>
      <c r="X260" s="3"/>
      <c r="Y260" s="3"/>
      <c r="Z260" s="3"/>
    </row>
    <row r="261" spans="1:26" ht="12.75">
      <c r="A261" s="3"/>
      <c r="D261" s="22"/>
      <c r="E261" s="22"/>
      <c r="F261" s="22"/>
      <c r="G261" s="22"/>
      <c r="H261" s="22"/>
      <c r="I261" s="22"/>
      <c r="J261" s="22"/>
      <c r="K261" s="22"/>
      <c r="L261" s="22"/>
      <c r="M261" s="22"/>
      <c r="O261" s="3"/>
      <c r="V261" s="3"/>
      <c r="W261" s="3"/>
      <c r="X261" s="3"/>
      <c r="Y261" s="3"/>
      <c r="Z261" s="3"/>
    </row>
    <row r="262" spans="1:26" ht="12.75">
      <c r="A262" s="3"/>
      <c r="D262" s="22"/>
      <c r="E262" s="22"/>
      <c r="F262" s="22"/>
      <c r="G262" s="22"/>
      <c r="H262" s="22"/>
      <c r="I262" s="22"/>
      <c r="J262" s="22"/>
      <c r="K262" s="22"/>
      <c r="L262" s="22"/>
      <c r="M262" s="22"/>
      <c r="O262" s="3"/>
      <c r="V262" s="3"/>
      <c r="W262" s="3"/>
      <c r="X262" s="3"/>
      <c r="Y262" s="3"/>
      <c r="Z262" s="3"/>
    </row>
    <row r="263" spans="1:26" ht="12.75">
      <c r="A263" s="3"/>
      <c r="D263" s="22"/>
      <c r="E263" s="22"/>
      <c r="F263" s="22"/>
      <c r="G263" s="22"/>
      <c r="H263" s="22"/>
      <c r="I263" s="22"/>
      <c r="J263" s="22"/>
      <c r="K263" s="22"/>
      <c r="L263" s="22"/>
      <c r="M263" s="22"/>
      <c r="O263" s="3"/>
      <c r="V263" s="3"/>
      <c r="W263" s="3"/>
      <c r="X263" s="3"/>
      <c r="Y263" s="3"/>
      <c r="Z263" s="3"/>
    </row>
    <row r="264" spans="1:26" ht="12.75">
      <c r="A264" s="3"/>
      <c r="D264" s="22"/>
      <c r="E264" s="22"/>
      <c r="F264" s="22"/>
      <c r="G264" s="22"/>
      <c r="H264" s="22"/>
      <c r="I264" s="22"/>
      <c r="J264" s="22"/>
      <c r="K264" s="22"/>
      <c r="L264" s="22"/>
      <c r="M264" s="22"/>
      <c r="O264" s="3"/>
      <c r="V264" s="3"/>
      <c r="W264" s="3"/>
      <c r="X264" s="3"/>
      <c r="Y264" s="3"/>
      <c r="Z264" s="3"/>
    </row>
    <row r="265" spans="1:26" ht="12.75">
      <c r="A265" s="3"/>
      <c r="D265" s="22"/>
      <c r="E265" s="22"/>
      <c r="F265" s="22"/>
      <c r="G265" s="22"/>
      <c r="H265" s="22"/>
      <c r="I265" s="22"/>
      <c r="J265" s="22"/>
      <c r="K265" s="22"/>
      <c r="L265" s="22"/>
      <c r="M265" s="22"/>
      <c r="O265" s="3"/>
      <c r="V265" s="3"/>
      <c r="W265" s="3"/>
      <c r="X265" s="3"/>
      <c r="Y265" s="3"/>
      <c r="Z265" s="3"/>
    </row>
    <row r="266" spans="1:26" ht="12.75">
      <c r="A266" s="3"/>
      <c r="D266" s="22"/>
      <c r="E266" s="22"/>
      <c r="F266" s="22"/>
      <c r="G266" s="22"/>
      <c r="H266" s="22"/>
      <c r="I266" s="22"/>
      <c r="J266" s="22"/>
      <c r="K266" s="22"/>
      <c r="L266" s="22"/>
      <c r="M266" s="22"/>
      <c r="O266" s="3"/>
      <c r="V266" s="3"/>
      <c r="W266" s="3"/>
      <c r="X266" s="3"/>
      <c r="Y266" s="3"/>
      <c r="Z266" s="3"/>
    </row>
    <row r="267" spans="1:26" ht="12.75">
      <c r="A267" s="3"/>
      <c r="D267" s="22"/>
      <c r="E267" s="22"/>
      <c r="F267" s="22"/>
      <c r="G267" s="22"/>
      <c r="H267" s="22"/>
      <c r="I267" s="22"/>
      <c r="J267" s="22"/>
      <c r="K267" s="22"/>
      <c r="L267" s="22"/>
      <c r="M267" s="22"/>
      <c r="O267" s="3"/>
      <c r="V267" s="3"/>
      <c r="W267" s="3"/>
      <c r="X267" s="3"/>
      <c r="Y267" s="3"/>
      <c r="Z267" s="3"/>
    </row>
    <row r="268" spans="1:26" ht="12.75">
      <c r="A268" s="3"/>
      <c r="D268" s="22"/>
      <c r="E268" s="22"/>
      <c r="F268" s="22"/>
      <c r="G268" s="22"/>
      <c r="H268" s="22"/>
      <c r="I268" s="22"/>
      <c r="J268" s="22"/>
      <c r="K268" s="22"/>
      <c r="L268" s="22"/>
      <c r="M268" s="22"/>
      <c r="O268" s="3"/>
      <c r="V268" s="3"/>
      <c r="W268" s="3"/>
      <c r="X268" s="3"/>
      <c r="Y268" s="3"/>
      <c r="Z268" s="3"/>
    </row>
    <row r="269" spans="1:26" ht="12.75">
      <c r="A269" s="3"/>
      <c r="D269" s="22"/>
      <c r="E269" s="22"/>
      <c r="F269" s="22"/>
      <c r="G269" s="22"/>
      <c r="H269" s="22"/>
      <c r="I269" s="22"/>
      <c r="J269" s="22"/>
      <c r="K269" s="22"/>
      <c r="L269" s="22"/>
      <c r="M269" s="22"/>
      <c r="O269" s="3"/>
      <c r="V269" s="3"/>
      <c r="W269" s="3"/>
      <c r="X269" s="3"/>
      <c r="Y269" s="3"/>
      <c r="Z269" s="3"/>
    </row>
    <row r="270" spans="1:26" ht="12.75">
      <c r="A270" s="3"/>
      <c r="D270" s="22"/>
      <c r="E270" s="22"/>
      <c r="F270" s="22"/>
      <c r="G270" s="22"/>
      <c r="H270" s="22"/>
      <c r="I270" s="22"/>
      <c r="J270" s="22"/>
      <c r="K270" s="22"/>
      <c r="L270" s="22"/>
      <c r="M270" s="22"/>
      <c r="O270" s="3"/>
      <c r="V270" s="3"/>
      <c r="W270" s="3"/>
      <c r="X270" s="3"/>
      <c r="Y270" s="3"/>
      <c r="Z270" s="3"/>
    </row>
    <row r="271" spans="1:26" ht="12.75">
      <c r="A271" s="3"/>
      <c r="D271" s="22"/>
      <c r="E271" s="22"/>
      <c r="F271" s="22"/>
      <c r="G271" s="22"/>
      <c r="H271" s="22"/>
      <c r="I271" s="22"/>
      <c r="J271" s="22"/>
      <c r="K271" s="22"/>
      <c r="L271" s="22"/>
      <c r="M271" s="22"/>
      <c r="O271" s="3"/>
      <c r="V271" s="3"/>
      <c r="W271" s="3"/>
      <c r="X271" s="3"/>
      <c r="Y271" s="3"/>
      <c r="Z271" s="3"/>
    </row>
    <row r="272" spans="1:26" ht="12.75">
      <c r="A272" s="3"/>
      <c r="D272" s="22"/>
      <c r="E272" s="22"/>
      <c r="F272" s="22"/>
      <c r="G272" s="22"/>
      <c r="H272" s="22"/>
      <c r="I272" s="22"/>
      <c r="J272" s="22"/>
      <c r="K272" s="22"/>
      <c r="L272" s="22"/>
      <c r="M272" s="22"/>
      <c r="O272" s="3"/>
      <c r="V272" s="3"/>
      <c r="W272" s="3"/>
      <c r="X272" s="3"/>
      <c r="Y272" s="3"/>
      <c r="Z272" s="3"/>
    </row>
    <row r="273" spans="1:26" ht="12.75">
      <c r="A273" s="3"/>
      <c r="D273" s="22"/>
      <c r="E273" s="22"/>
      <c r="F273" s="22"/>
      <c r="G273" s="22"/>
      <c r="H273" s="22"/>
      <c r="I273" s="22"/>
      <c r="J273" s="22"/>
      <c r="K273" s="22"/>
      <c r="L273" s="22"/>
      <c r="M273" s="22"/>
      <c r="O273" s="3"/>
      <c r="V273" s="3"/>
      <c r="W273" s="3"/>
      <c r="X273" s="3"/>
      <c r="Y273" s="3"/>
      <c r="Z273" s="3"/>
    </row>
    <row r="274" spans="1:26" ht="12.75">
      <c r="A274" s="3"/>
      <c r="D274" s="22"/>
      <c r="E274" s="22"/>
      <c r="F274" s="22"/>
      <c r="G274" s="22"/>
      <c r="H274" s="22"/>
      <c r="I274" s="22"/>
      <c r="J274" s="22"/>
      <c r="K274" s="22"/>
      <c r="L274" s="22"/>
      <c r="M274" s="22"/>
      <c r="O274" s="3"/>
      <c r="V274" s="3"/>
      <c r="W274" s="3"/>
      <c r="X274" s="3"/>
      <c r="Y274" s="3"/>
      <c r="Z274" s="3"/>
    </row>
    <row r="275" spans="1:26" ht="12.75">
      <c r="A275" s="3"/>
      <c r="D275" s="22"/>
      <c r="E275" s="22"/>
      <c r="F275" s="22"/>
      <c r="G275" s="22"/>
      <c r="H275" s="22"/>
      <c r="I275" s="22"/>
      <c r="J275" s="22"/>
      <c r="K275" s="22"/>
      <c r="L275" s="22"/>
      <c r="M275" s="22"/>
      <c r="O275" s="3"/>
      <c r="V275" s="3"/>
      <c r="W275" s="3"/>
      <c r="X275" s="3"/>
      <c r="Y275" s="3"/>
      <c r="Z275" s="3"/>
    </row>
    <row r="276" spans="1:26" ht="12.75">
      <c r="A276" s="3"/>
      <c r="D276" s="22"/>
      <c r="E276" s="22"/>
      <c r="F276" s="22"/>
      <c r="G276" s="22"/>
      <c r="H276" s="22"/>
      <c r="I276" s="22"/>
      <c r="J276" s="22"/>
      <c r="K276" s="22"/>
      <c r="L276" s="22"/>
      <c r="M276" s="22"/>
      <c r="O276" s="3"/>
      <c r="V276" s="3"/>
      <c r="W276" s="3"/>
      <c r="X276" s="3"/>
      <c r="Y276" s="3"/>
      <c r="Z276" s="3"/>
    </row>
    <row r="277" spans="1:26" ht="12.75">
      <c r="A277" s="3"/>
      <c r="D277" s="22"/>
      <c r="E277" s="22"/>
      <c r="F277" s="22"/>
      <c r="G277" s="22"/>
      <c r="H277" s="22"/>
      <c r="I277" s="22"/>
      <c r="J277" s="22"/>
      <c r="K277" s="22"/>
      <c r="L277" s="22"/>
      <c r="M277" s="22"/>
      <c r="O277" s="3"/>
      <c r="V277" s="3"/>
      <c r="W277" s="3"/>
      <c r="X277" s="3"/>
      <c r="Y277" s="3"/>
      <c r="Z277" s="3"/>
    </row>
    <row r="278" spans="1:26" ht="12.75">
      <c r="A278" s="3"/>
      <c r="D278" s="22"/>
      <c r="E278" s="22"/>
      <c r="F278" s="22"/>
      <c r="G278" s="22"/>
      <c r="H278" s="22"/>
      <c r="I278" s="22"/>
      <c r="J278" s="22"/>
      <c r="K278" s="22"/>
      <c r="L278" s="22"/>
      <c r="M278" s="22"/>
      <c r="O278" s="3"/>
      <c r="V278" s="3"/>
      <c r="W278" s="3"/>
      <c r="X278" s="3"/>
      <c r="Y278" s="3"/>
      <c r="Z278" s="3"/>
    </row>
    <row r="279" spans="1:26" ht="12.75">
      <c r="A279" s="3"/>
      <c r="D279" s="22"/>
      <c r="E279" s="22"/>
      <c r="F279" s="22"/>
      <c r="G279" s="22"/>
      <c r="H279" s="22"/>
      <c r="I279" s="22"/>
      <c r="J279" s="22"/>
      <c r="K279" s="22"/>
      <c r="L279" s="22"/>
      <c r="M279" s="22"/>
      <c r="O279" s="3"/>
      <c r="V279" s="3"/>
      <c r="W279" s="3"/>
      <c r="X279" s="3"/>
      <c r="Y279" s="3"/>
      <c r="Z279" s="3"/>
    </row>
    <row r="280" spans="1:26" ht="12.75">
      <c r="A280" s="3"/>
      <c r="D280" s="22"/>
      <c r="E280" s="22"/>
      <c r="F280" s="22"/>
      <c r="G280" s="22"/>
      <c r="H280" s="22"/>
      <c r="I280" s="22"/>
      <c r="J280" s="22"/>
      <c r="K280" s="22"/>
      <c r="L280" s="22"/>
      <c r="M280" s="22"/>
      <c r="O280" s="3"/>
      <c r="V280" s="3"/>
      <c r="W280" s="3"/>
      <c r="X280" s="3"/>
      <c r="Y280" s="3"/>
      <c r="Z280" s="3"/>
    </row>
    <row r="281" spans="1:26" ht="12.75">
      <c r="A281" s="3"/>
      <c r="D281" s="22"/>
      <c r="E281" s="22"/>
      <c r="F281" s="22"/>
      <c r="G281" s="22"/>
      <c r="H281" s="22"/>
      <c r="I281" s="22"/>
      <c r="J281" s="22"/>
      <c r="K281" s="22"/>
      <c r="L281" s="22"/>
      <c r="M281" s="22"/>
      <c r="O281" s="3"/>
      <c r="V281" s="3"/>
      <c r="W281" s="3"/>
      <c r="X281" s="3"/>
      <c r="Y281" s="3"/>
      <c r="Z281" s="3"/>
    </row>
    <row r="282" spans="1:26" ht="12.75">
      <c r="A282" s="3"/>
      <c r="D282" s="22"/>
      <c r="E282" s="22"/>
      <c r="F282" s="22"/>
      <c r="G282" s="22"/>
      <c r="H282" s="22"/>
      <c r="I282" s="22"/>
      <c r="J282" s="22"/>
      <c r="K282" s="22"/>
      <c r="L282" s="22"/>
      <c r="M282" s="22"/>
      <c r="O282" s="3"/>
      <c r="V282" s="3"/>
      <c r="W282" s="3"/>
      <c r="X282" s="3"/>
      <c r="Y282" s="3"/>
      <c r="Z282" s="3"/>
    </row>
    <row r="283" spans="1:26" ht="12.75">
      <c r="A283" s="3"/>
      <c r="D283" s="22"/>
      <c r="E283" s="22"/>
      <c r="F283" s="22"/>
      <c r="G283" s="22"/>
      <c r="H283" s="22"/>
      <c r="I283" s="22"/>
      <c r="J283" s="22"/>
      <c r="K283" s="22"/>
      <c r="L283" s="22"/>
      <c r="M283" s="22"/>
      <c r="O283" s="3"/>
      <c r="V283" s="3"/>
      <c r="W283" s="3"/>
      <c r="X283" s="3"/>
      <c r="Y283" s="3"/>
      <c r="Z283" s="3"/>
    </row>
    <row r="284" spans="1:26" ht="12.75">
      <c r="A284" s="3"/>
      <c r="D284" s="22"/>
      <c r="E284" s="22"/>
      <c r="F284" s="22"/>
      <c r="G284" s="22"/>
      <c r="H284" s="22"/>
      <c r="I284" s="22"/>
      <c r="J284" s="22"/>
      <c r="K284" s="22"/>
      <c r="L284" s="22"/>
      <c r="M284" s="22"/>
      <c r="O284" s="3"/>
      <c r="V284" s="3"/>
      <c r="W284" s="3"/>
      <c r="X284" s="3"/>
      <c r="Y284" s="3"/>
      <c r="Z284" s="3"/>
    </row>
    <row r="285" spans="1:26" ht="12.75">
      <c r="A285" s="3"/>
      <c r="D285" s="22"/>
      <c r="E285" s="22"/>
      <c r="F285" s="22"/>
      <c r="G285" s="22"/>
      <c r="H285" s="22"/>
      <c r="I285" s="22"/>
      <c r="J285" s="22"/>
      <c r="K285" s="22"/>
      <c r="L285" s="22"/>
      <c r="M285" s="22"/>
      <c r="O285" s="3"/>
      <c r="V285" s="3"/>
      <c r="W285" s="3"/>
      <c r="X285" s="3"/>
      <c r="Y285" s="3"/>
      <c r="Z285" s="3"/>
    </row>
    <row r="286" spans="1:26" ht="12.75">
      <c r="A286" s="3"/>
      <c r="D286" s="22"/>
      <c r="E286" s="22"/>
      <c r="F286" s="22"/>
      <c r="G286" s="22"/>
      <c r="H286" s="22"/>
      <c r="I286" s="22"/>
      <c r="J286" s="22"/>
      <c r="K286" s="22"/>
      <c r="L286" s="22"/>
      <c r="M286" s="22"/>
      <c r="O286" s="3"/>
      <c r="V286" s="3"/>
      <c r="W286" s="3"/>
      <c r="X286" s="3"/>
      <c r="Y286" s="3"/>
      <c r="Z286" s="3"/>
    </row>
    <row r="287" spans="1:26" ht="12.75">
      <c r="A287" s="3"/>
      <c r="D287" s="22"/>
      <c r="E287" s="22"/>
      <c r="F287" s="22"/>
      <c r="G287" s="22"/>
      <c r="H287" s="22"/>
      <c r="I287" s="22"/>
      <c r="J287" s="22"/>
      <c r="K287" s="22"/>
      <c r="L287" s="22"/>
      <c r="M287" s="22"/>
      <c r="O287" s="3"/>
      <c r="V287" s="3"/>
      <c r="W287" s="3"/>
      <c r="X287" s="3"/>
      <c r="Y287" s="3"/>
      <c r="Z287" s="3"/>
    </row>
    <row r="288" spans="1:26" ht="12.75">
      <c r="A288" s="3"/>
      <c r="D288" s="22"/>
      <c r="E288" s="22"/>
      <c r="F288" s="22"/>
      <c r="G288" s="22"/>
      <c r="H288" s="22"/>
      <c r="I288" s="22"/>
      <c r="J288" s="22"/>
      <c r="K288" s="22"/>
      <c r="L288" s="22"/>
      <c r="M288" s="22"/>
      <c r="O288" s="3"/>
      <c r="V288" s="3"/>
      <c r="W288" s="3"/>
      <c r="X288" s="3"/>
      <c r="Y288" s="3"/>
      <c r="Z288" s="3"/>
    </row>
    <row r="289" spans="1:26" ht="12.75">
      <c r="A289" s="3"/>
      <c r="D289" s="22"/>
      <c r="E289" s="22"/>
      <c r="F289" s="22"/>
      <c r="G289" s="22"/>
      <c r="H289" s="22"/>
      <c r="I289" s="22"/>
      <c r="J289" s="22"/>
      <c r="K289" s="22"/>
      <c r="L289" s="22"/>
      <c r="M289" s="22"/>
      <c r="O289" s="3"/>
      <c r="V289" s="3"/>
      <c r="W289" s="3"/>
      <c r="X289" s="3"/>
      <c r="Y289" s="3"/>
      <c r="Z289" s="3"/>
    </row>
    <row r="290" spans="1:26" ht="12.75">
      <c r="A290" s="3"/>
      <c r="D290" s="22"/>
      <c r="E290" s="22"/>
      <c r="F290" s="22"/>
      <c r="G290" s="22"/>
      <c r="H290" s="22"/>
      <c r="I290" s="22"/>
      <c r="J290" s="22"/>
      <c r="K290" s="22"/>
      <c r="L290" s="22"/>
      <c r="M290" s="22"/>
      <c r="O290" s="3"/>
      <c r="V290" s="3"/>
      <c r="W290" s="3"/>
      <c r="X290" s="3"/>
      <c r="Y290" s="3"/>
      <c r="Z290" s="3"/>
    </row>
    <row r="291" spans="1:26" ht="12.75">
      <c r="A291" s="3"/>
      <c r="D291" s="22"/>
      <c r="E291" s="22"/>
      <c r="F291" s="22"/>
      <c r="G291" s="22"/>
      <c r="H291" s="22"/>
      <c r="I291" s="22"/>
      <c r="J291" s="22"/>
      <c r="K291" s="22"/>
      <c r="L291" s="22"/>
      <c r="M291" s="22"/>
      <c r="O291" s="3"/>
      <c r="V291" s="3"/>
      <c r="W291" s="3"/>
      <c r="X291" s="3"/>
      <c r="Y291" s="3"/>
      <c r="Z291" s="3"/>
    </row>
    <row r="292" spans="1:26" ht="12.75">
      <c r="A292" s="3"/>
      <c r="D292" s="22"/>
      <c r="E292" s="22"/>
      <c r="F292" s="22"/>
      <c r="G292" s="22"/>
      <c r="H292" s="22"/>
      <c r="I292" s="22"/>
      <c r="J292" s="22"/>
      <c r="K292" s="22"/>
      <c r="L292" s="22"/>
      <c r="M292" s="22"/>
      <c r="O292" s="3"/>
      <c r="V292" s="3"/>
      <c r="W292" s="3"/>
      <c r="X292" s="3"/>
      <c r="Y292" s="3"/>
      <c r="Z292" s="3"/>
    </row>
    <row r="293" spans="1:26" ht="12.75">
      <c r="A293" s="3"/>
      <c r="D293" s="22"/>
      <c r="E293" s="22"/>
      <c r="F293" s="22"/>
      <c r="G293" s="22"/>
      <c r="H293" s="22"/>
      <c r="I293" s="22"/>
      <c r="J293" s="22"/>
      <c r="K293" s="22"/>
      <c r="L293" s="22"/>
      <c r="M293" s="22"/>
      <c r="O293" s="3"/>
      <c r="V293" s="3"/>
      <c r="W293" s="3"/>
      <c r="X293" s="3"/>
      <c r="Y293" s="3"/>
      <c r="Z293" s="3"/>
    </row>
    <row r="294" spans="1:26" ht="12.75">
      <c r="A294" s="3"/>
      <c r="D294" s="22"/>
      <c r="E294" s="22"/>
      <c r="F294" s="22"/>
      <c r="G294" s="22"/>
      <c r="H294" s="22"/>
      <c r="I294" s="22"/>
      <c r="J294" s="22"/>
      <c r="K294" s="22"/>
      <c r="L294" s="22"/>
      <c r="M294" s="22"/>
      <c r="O294" s="3"/>
      <c r="V294" s="3"/>
      <c r="W294" s="3"/>
      <c r="X294" s="3"/>
      <c r="Y294" s="3"/>
      <c r="Z294" s="3"/>
    </row>
    <row r="295" spans="1:26" ht="12.75">
      <c r="A295" s="3"/>
      <c r="D295" s="22"/>
      <c r="E295" s="22"/>
      <c r="F295" s="22"/>
      <c r="G295" s="22"/>
      <c r="H295" s="22"/>
      <c r="I295" s="22"/>
      <c r="J295" s="22"/>
      <c r="K295" s="22"/>
      <c r="L295" s="22"/>
      <c r="M295" s="22"/>
      <c r="O295" s="3"/>
      <c r="V295" s="3"/>
      <c r="W295" s="3"/>
      <c r="X295" s="3"/>
      <c r="Y295" s="3"/>
      <c r="Z295" s="3"/>
    </row>
    <row r="296" spans="1:26" ht="12.75">
      <c r="A296" s="3"/>
      <c r="D296" s="22"/>
      <c r="E296" s="22"/>
      <c r="F296" s="22"/>
      <c r="G296" s="22"/>
      <c r="H296" s="22"/>
      <c r="I296" s="22"/>
      <c r="J296" s="22"/>
      <c r="K296" s="22"/>
      <c r="L296" s="22"/>
      <c r="M296" s="22"/>
      <c r="O296" s="3"/>
      <c r="V296" s="3"/>
      <c r="W296" s="3"/>
      <c r="X296" s="3"/>
      <c r="Y296" s="3"/>
      <c r="Z296" s="3"/>
    </row>
    <row r="297" spans="1:26" ht="12.75">
      <c r="A297" s="3"/>
      <c r="D297" s="22"/>
      <c r="E297" s="22"/>
      <c r="F297" s="22"/>
      <c r="G297" s="22"/>
      <c r="H297" s="22"/>
      <c r="I297" s="22"/>
      <c r="J297" s="22"/>
      <c r="K297" s="22"/>
      <c r="L297" s="22"/>
      <c r="M297" s="22"/>
      <c r="O297" s="3"/>
      <c r="V297" s="3"/>
      <c r="W297" s="3"/>
      <c r="X297" s="3"/>
      <c r="Y297" s="3"/>
      <c r="Z297" s="3"/>
    </row>
    <row r="298" spans="1:26" ht="12.75">
      <c r="A298" s="3"/>
      <c r="D298" s="22"/>
      <c r="E298" s="22"/>
      <c r="F298" s="22"/>
      <c r="G298" s="22"/>
      <c r="H298" s="22"/>
      <c r="I298" s="22"/>
      <c r="J298" s="22"/>
      <c r="K298" s="22"/>
      <c r="L298" s="22"/>
      <c r="M298" s="22"/>
      <c r="O298" s="3"/>
      <c r="V298" s="3"/>
      <c r="W298" s="3"/>
      <c r="X298" s="3"/>
      <c r="Y298" s="3"/>
      <c r="Z298" s="3"/>
    </row>
    <row r="299" spans="1:26" ht="12.75">
      <c r="A299" s="3"/>
      <c r="D299" s="22"/>
      <c r="E299" s="22"/>
      <c r="F299" s="22"/>
      <c r="G299" s="22"/>
      <c r="H299" s="22"/>
      <c r="I299" s="22"/>
      <c r="J299" s="22"/>
      <c r="K299" s="22"/>
      <c r="L299" s="22"/>
      <c r="M299" s="22"/>
      <c r="O299" s="3"/>
      <c r="V299" s="3"/>
      <c r="W299" s="3"/>
      <c r="X299" s="3"/>
      <c r="Y299" s="3"/>
      <c r="Z299" s="3"/>
    </row>
    <row r="300" spans="1:26" ht="12.75">
      <c r="A300" s="3"/>
      <c r="D300" s="22"/>
      <c r="E300" s="22"/>
      <c r="F300" s="22"/>
      <c r="G300" s="22"/>
      <c r="H300" s="22"/>
      <c r="I300" s="22"/>
      <c r="J300" s="22"/>
      <c r="K300" s="22"/>
      <c r="L300" s="22"/>
      <c r="M300" s="22"/>
      <c r="O300" s="3"/>
      <c r="V300" s="3"/>
      <c r="W300" s="3"/>
      <c r="X300" s="3"/>
      <c r="Y300" s="3"/>
      <c r="Z300" s="3"/>
    </row>
    <row r="301" spans="1:26" ht="12.75">
      <c r="A301" s="3"/>
      <c r="D301" s="22"/>
      <c r="E301" s="22"/>
      <c r="F301" s="22"/>
      <c r="G301" s="22"/>
      <c r="H301" s="22"/>
      <c r="I301" s="22"/>
      <c r="J301" s="22"/>
      <c r="K301" s="22"/>
      <c r="L301" s="22"/>
      <c r="M301" s="22"/>
      <c r="O301" s="3"/>
      <c r="V301" s="3"/>
      <c r="W301" s="3"/>
      <c r="X301" s="3"/>
      <c r="Y301" s="3"/>
      <c r="Z301" s="3"/>
    </row>
    <row r="302" spans="1:26" ht="12.75">
      <c r="A302" s="3"/>
      <c r="D302" s="22"/>
      <c r="E302" s="22"/>
      <c r="F302" s="22"/>
      <c r="G302" s="22"/>
      <c r="H302" s="22"/>
      <c r="I302" s="22"/>
      <c r="J302" s="22"/>
      <c r="K302" s="22"/>
      <c r="L302" s="22"/>
      <c r="M302" s="22"/>
      <c r="O302" s="3"/>
      <c r="V302" s="3"/>
      <c r="W302" s="3"/>
      <c r="X302" s="3"/>
      <c r="Y302" s="3"/>
      <c r="Z302" s="3"/>
    </row>
    <row r="303" spans="1:26" ht="12.75">
      <c r="A303" s="3"/>
      <c r="D303" s="22"/>
      <c r="E303" s="22"/>
      <c r="F303" s="22"/>
      <c r="G303" s="22"/>
      <c r="H303" s="22"/>
      <c r="I303" s="22"/>
      <c r="J303" s="22"/>
      <c r="K303" s="22"/>
      <c r="L303" s="22"/>
      <c r="M303" s="22"/>
      <c r="O303" s="3"/>
      <c r="V303" s="3"/>
      <c r="W303" s="3"/>
      <c r="X303" s="3"/>
      <c r="Y303" s="3"/>
      <c r="Z303" s="3"/>
    </row>
    <row r="304" spans="1:26" ht="12.75">
      <c r="A304" s="3"/>
      <c r="D304" s="22"/>
      <c r="E304" s="22"/>
      <c r="F304" s="22"/>
      <c r="G304" s="22"/>
      <c r="H304" s="22"/>
      <c r="I304" s="22"/>
      <c r="J304" s="22"/>
      <c r="K304" s="22"/>
      <c r="L304" s="22"/>
      <c r="M304" s="22"/>
      <c r="O304" s="3"/>
      <c r="V304" s="3"/>
      <c r="W304" s="3"/>
      <c r="X304" s="3"/>
      <c r="Y304" s="3"/>
      <c r="Z304" s="3"/>
    </row>
    <row r="305" spans="1:26" ht="12.75">
      <c r="A305" s="3"/>
      <c r="D305" s="22"/>
      <c r="E305" s="22"/>
      <c r="F305" s="22"/>
      <c r="G305" s="22"/>
      <c r="H305" s="22"/>
      <c r="I305" s="22"/>
      <c r="J305" s="22"/>
      <c r="K305" s="22"/>
      <c r="L305" s="22"/>
      <c r="M305" s="22"/>
      <c r="O305" s="3"/>
      <c r="V305" s="3"/>
      <c r="W305" s="3"/>
      <c r="X305" s="3"/>
      <c r="Y305" s="3"/>
      <c r="Z305" s="3"/>
    </row>
    <row r="306" spans="1:26" ht="12.75">
      <c r="A306" s="3"/>
      <c r="D306" s="22"/>
      <c r="E306" s="22"/>
      <c r="F306" s="22"/>
      <c r="G306" s="22"/>
      <c r="H306" s="22"/>
      <c r="I306" s="22"/>
      <c r="J306" s="22"/>
      <c r="K306" s="22"/>
      <c r="L306" s="22"/>
      <c r="M306" s="22"/>
      <c r="O306" s="3"/>
      <c r="V306" s="3"/>
      <c r="W306" s="3"/>
      <c r="X306" s="3"/>
      <c r="Y306" s="3"/>
      <c r="Z306" s="3"/>
    </row>
    <row r="307" spans="1:26" ht="12.75">
      <c r="A307" s="3"/>
      <c r="D307" s="22"/>
      <c r="E307" s="22"/>
      <c r="F307" s="22"/>
      <c r="G307" s="22"/>
      <c r="H307" s="22"/>
      <c r="I307" s="22"/>
      <c r="J307" s="22"/>
      <c r="K307" s="22"/>
      <c r="L307" s="22"/>
      <c r="M307" s="22"/>
      <c r="O307" s="3"/>
      <c r="V307" s="3"/>
      <c r="W307" s="3"/>
      <c r="X307" s="3"/>
      <c r="Y307" s="3"/>
      <c r="Z307" s="3"/>
    </row>
    <row r="308" spans="1:26" ht="12.75">
      <c r="A308" s="3"/>
      <c r="D308" s="22"/>
      <c r="E308" s="22"/>
      <c r="F308" s="22"/>
      <c r="G308" s="22"/>
      <c r="H308" s="22"/>
      <c r="I308" s="22"/>
      <c r="J308" s="22"/>
      <c r="K308" s="22"/>
      <c r="L308" s="22"/>
      <c r="M308" s="22"/>
      <c r="O308" s="3"/>
      <c r="V308" s="3"/>
      <c r="W308" s="3"/>
      <c r="X308" s="3"/>
      <c r="Y308" s="3"/>
      <c r="Z308" s="3"/>
    </row>
    <row r="309" spans="1:26" ht="12.75">
      <c r="A309" s="3"/>
      <c r="D309" s="22"/>
      <c r="E309" s="22"/>
      <c r="F309" s="22"/>
      <c r="G309" s="22"/>
      <c r="H309" s="22"/>
      <c r="I309" s="22"/>
      <c r="J309" s="22"/>
      <c r="K309" s="22"/>
      <c r="L309" s="22"/>
      <c r="M309" s="22"/>
      <c r="O309" s="3"/>
      <c r="V309" s="3"/>
      <c r="W309" s="3"/>
      <c r="X309" s="3"/>
      <c r="Y309" s="3"/>
      <c r="Z309" s="3"/>
    </row>
    <row r="310" spans="1:26" ht="12.75">
      <c r="A310" s="3"/>
      <c r="D310" s="22"/>
      <c r="E310" s="22"/>
      <c r="F310" s="22"/>
      <c r="G310" s="22"/>
      <c r="H310" s="22"/>
      <c r="I310" s="22"/>
      <c r="J310" s="22"/>
      <c r="K310" s="22"/>
      <c r="L310" s="22"/>
      <c r="M310" s="22"/>
      <c r="O310" s="3"/>
      <c r="V310" s="3"/>
      <c r="W310" s="3"/>
      <c r="X310" s="3"/>
      <c r="Y310" s="3"/>
      <c r="Z310" s="3"/>
    </row>
    <row r="311" spans="1:26" ht="12.75">
      <c r="A311" s="3"/>
      <c r="D311" s="22"/>
      <c r="E311" s="22"/>
      <c r="F311" s="22"/>
      <c r="G311" s="22"/>
      <c r="H311" s="22"/>
      <c r="I311" s="22"/>
      <c r="J311" s="22"/>
      <c r="K311" s="22"/>
      <c r="L311" s="22"/>
      <c r="M311" s="22"/>
      <c r="O311" s="3"/>
      <c r="V311" s="3"/>
      <c r="W311" s="3"/>
      <c r="X311" s="3"/>
      <c r="Y311" s="3"/>
      <c r="Z311" s="3"/>
    </row>
    <row r="312" spans="1:26" ht="12.75">
      <c r="A312" s="3"/>
      <c r="D312" s="22"/>
      <c r="E312" s="22"/>
      <c r="F312" s="22"/>
      <c r="G312" s="22"/>
      <c r="H312" s="22"/>
      <c r="I312" s="22"/>
      <c r="J312" s="22"/>
      <c r="K312" s="22"/>
      <c r="L312" s="22"/>
      <c r="M312" s="22"/>
      <c r="O312" s="3"/>
      <c r="V312" s="3"/>
      <c r="W312" s="3"/>
      <c r="X312" s="3"/>
      <c r="Y312" s="3"/>
      <c r="Z312" s="3"/>
    </row>
    <row r="313" spans="1:26" ht="12.75">
      <c r="A313" s="3"/>
      <c r="D313" s="22"/>
      <c r="E313" s="22"/>
      <c r="F313" s="22"/>
      <c r="G313" s="22"/>
      <c r="H313" s="22"/>
      <c r="I313" s="22"/>
      <c r="J313" s="22"/>
      <c r="K313" s="22"/>
      <c r="L313" s="22"/>
      <c r="M313" s="22"/>
      <c r="O313" s="3"/>
      <c r="V313" s="3"/>
      <c r="W313" s="3"/>
      <c r="X313" s="3"/>
      <c r="Y313" s="3"/>
      <c r="Z313" s="3"/>
    </row>
    <row r="314" spans="1:26" ht="12.75">
      <c r="A314" s="3"/>
      <c r="D314" s="22"/>
      <c r="E314" s="22"/>
      <c r="F314" s="22"/>
      <c r="G314" s="22"/>
      <c r="H314" s="22"/>
      <c r="I314" s="22"/>
      <c r="J314" s="22"/>
      <c r="K314" s="22"/>
      <c r="L314" s="22"/>
      <c r="M314" s="22"/>
      <c r="O314" s="3"/>
      <c r="V314" s="3"/>
      <c r="W314" s="3"/>
      <c r="X314" s="3"/>
      <c r="Y314" s="3"/>
      <c r="Z314" s="3"/>
    </row>
    <row r="315" spans="1:26" ht="12.75">
      <c r="A315" s="3"/>
      <c r="D315" s="22"/>
      <c r="E315" s="22"/>
      <c r="F315" s="22"/>
      <c r="G315" s="22"/>
      <c r="H315" s="22"/>
      <c r="I315" s="22"/>
      <c r="J315" s="22"/>
      <c r="K315" s="22"/>
      <c r="L315" s="22"/>
      <c r="M315" s="22"/>
      <c r="O315" s="3"/>
      <c r="V315" s="3"/>
      <c r="W315" s="3"/>
      <c r="X315" s="3"/>
      <c r="Y315" s="3"/>
      <c r="Z315" s="3"/>
    </row>
    <row r="316" spans="1:26" ht="12.75">
      <c r="A316" s="3"/>
      <c r="D316" s="22"/>
      <c r="E316" s="22"/>
      <c r="F316" s="22"/>
      <c r="G316" s="22"/>
      <c r="H316" s="22"/>
      <c r="I316" s="22"/>
      <c r="J316" s="22"/>
      <c r="K316" s="22"/>
      <c r="L316" s="22"/>
      <c r="M316" s="22"/>
      <c r="O316" s="3"/>
      <c r="V316" s="3"/>
      <c r="W316" s="3"/>
      <c r="X316" s="3"/>
      <c r="Y316" s="3"/>
      <c r="Z316" s="3"/>
    </row>
    <row r="317" spans="1:26" ht="12.75">
      <c r="A317" s="3"/>
      <c r="D317" s="22"/>
      <c r="E317" s="22"/>
      <c r="F317" s="22"/>
      <c r="G317" s="22"/>
      <c r="H317" s="22"/>
      <c r="I317" s="22"/>
      <c r="J317" s="22"/>
      <c r="K317" s="22"/>
      <c r="L317" s="22"/>
      <c r="M317" s="22"/>
      <c r="O317" s="3"/>
      <c r="V317" s="3"/>
      <c r="W317" s="3"/>
      <c r="X317" s="3"/>
      <c r="Y317" s="3"/>
      <c r="Z317" s="3"/>
    </row>
    <row r="318" spans="1:26" ht="12.75">
      <c r="A318" s="3"/>
      <c r="D318" s="22"/>
      <c r="E318" s="22"/>
      <c r="F318" s="22"/>
      <c r="G318" s="22"/>
      <c r="H318" s="22"/>
      <c r="I318" s="22"/>
      <c r="J318" s="22"/>
      <c r="K318" s="22"/>
      <c r="L318" s="22"/>
      <c r="M318" s="22"/>
      <c r="O318" s="3"/>
      <c r="V318" s="3"/>
      <c r="W318" s="3"/>
      <c r="X318" s="3"/>
      <c r="Y318" s="3"/>
      <c r="Z318" s="3"/>
    </row>
    <row r="319" spans="1:26" ht="12.75">
      <c r="A319" s="3"/>
      <c r="D319" s="22"/>
      <c r="E319" s="22"/>
      <c r="F319" s="22"/>
      <c r="G319" s="22"/>
      <c r="H319" s="22"/>
      <c r="I319" s="22"/>
      <c r="J319" s="22"/>
      <c r="K319" s="22"/>
      <c r="L319" s="22"/>
      <c r="M319" s="22"/>
      <c r="O319" s="3"/>
      <c r="V319" s="3"/>
      <c r="W319" s="3"/>
      <c r="X319" s="3"/>
      <c r="Y319" s="3"/>
      <c r="Z319" s="3"/>
    </row>
    <row r="320" spans="1:26" ht="12.75">
      <c r="A320" s="3"/>
      <c r="D320" s="22"/>
      <c r="E320" s="22"/>
      <c r="F320" s="22"/>
      <c r="G320" s="22"/>
      <c r="H320" s="22"/>
      <c r="I320" s="22"/>
      <c r="J320" s="22"/>
      <c r="K320" s="22"/>
      <c r="L320" s="22"/>
      <c r="M320" s="22"/>
      <c r="O320" s="3"/>
      <c r="V320" s="3"/>
      <c r="W320" s="3"/>
      <c r="X320" s="3"/>
      <c r="Y320" s="3"/>
      <c r="Z320" s="3"/>
    </row>
    <row r="321" spans="1:26" ht="12.75">
      <c r="A321" s="3"/>
      <c r="D321" s="22"/>
      <c r="E321" s="22"/>
      <c r="F321" s="22"/>
      <c r="G321" s="22"/>
      <c r="H321" s="22"/>
      <c r="I321" s="22"/>
      <c r="J321" s="22"/>
      <c r="K321" s="22"/>
      <c r="L321" s="22"/>
      <c r="M321" s="22"/>
      <c r="O321" s="3"/>
      <c r="V321" s="3"/>
      <c r="W321" s="3"/>
      <c r="X321" s="3"/>
      <c r="Y321" s="3"/>
      <c r="Z321" s="3"/>
    </row>
    <row r="322" spans="1:26" ht="12.75">
      <c r="A322" s="3"/>
      <c r="D322" s="22"/>
      <c r="E322" s="22"/>
      <c r="F322" s="22"/>
      <c r="G322" s="22"/>
      <c r="H322" s="22"/>
      <c r="I322" s="22"/>
      <c r="J322" s="22"/>
      <c r="K322" s="22"/>
      <c r="L322" s="22"/>
      <c r="M322" s="22"/>
      <c r="O322" s="3"/>
      <c r="V322" s="3"/>
      <c r="W322" s="3"/>
      <c r="X322" s="3"/>
      <c r="Y322" s="3"/>
      <c r="Z322" s="3"/>
    </row>
    <row r="323" spans="1:26" ht="12.75">
      <c r="A323" s="3"/>
      <c r="D323" s="22"/>
      <c r="E323" s="22"/>
      <c r="F323" s="22"/>
      <c r="G323" s="22"/>
      <c r="H323" s="22"/>
      <c r="I323" s="22"/>
      <c r="J323" s="22"/>
      <c r="K323" s="22"/>
      <c r="L323" s="22"/>
      <c r="M323" s="22"/>
      <c r="O323" s="3"/>
      <c r="V323" s="3"/>
      <c r="W323" s="3"/>
      <c r="X323" s="3"/>
      <c r="Y323" s="3"/>
      <c r="Z323" s="3"/>
    </row>
    <row r="324" spans="1:26" ht="12.75">
      <c r="A324" s="3"/>
      <c r="D324" s="22"/>
      <c r="E324" s="22"/>
      <c r="F324" s="22"/>
      <c r="G324" s="22"/>
      <c r="H324" s="22"/>
      <c r="I324" s="22"/>
      <c r="J324" s="22"/>
      <c r="K324" s="22"/>
      <c r="L324" s="22"/>
      <c r="M324" s="22"/>
      <c r="O324" s="3"/>
      <c r="V324" s="3"/>
      <c r="W324" s="3"/>
      <c r="X324" s="3"/>
      <c r="Y324" s="3"/>
      <c r="Z324" s="3"/>
    </row>
    <row r="325" spans="1:26" ht="12.75">
      <c r="A325" s="3"/>
      <c r="D325" s="22"/>
      <c r="E325" s="22"/>
      <c r="F325" s="22"/>
      <c r="G325" s="22"/>
      <c r="H325" s="22"/>
      <c r="I325" s="22"/>
      <c r="J325" s="22"/>
      <c r="K325" s="22"/>
      <c r="L325" s="22"/>
      <c r="M325" s="22"/>
      <c r="O325" s="3"/>
      <c r="V325" s="3"/>
      <c r="W325" s="3"/>
      <c r="X325" s="3"/>
      <c r="Y325" s="3"/>
      <c r="Z325" s="3"/>
    </row>
    <row r="326" spans="1:26" ht="12.75">
      <c r="A326" s="3"/>
      <c r="D326" s="22"/>
      <c r="E326" s="22"/>
      <c r="F326" s="22"/>
      <c r="G326" s="22"/>
      <c r="H326" s="22"/>
      <c r="I326" s="22"/>
      <c r="J326" s="22"/>
      <c r="K326" s="22"/>
      <c r="L326" s="22"/>
      <c r="M326" s="22"/>
      <c r="O326" s="3"/>
      <c r="V326" s="3"/>
      <c r="W326" s="3"/>
      <c r="X326" s="3"/>
      <c r="Y326" s="3"/>
      <c r="Z326" s="3"/>
    </row>
    <row r="327" spans="1:26" ht="12.75">
      <c r="A327" s="3"/>
      <c r="D327" s="22"/>
      <c r="E327" s="22"/>
      <c r="F327" s="22"/>
      <c r="G327" s="22"/>
      <c r="H327" s="22"/>
      <c r="I327" s="22"/>
      <c r="J327" s="22"/>
      <c r="K327" s="22"/>
      <c r="L327" s="22"/>
      <c r="M327" s="22"/>
      <c r="O327" s="3"/>
      <c r="V327" s="3"/>
      <c r="W327" s="3"/>
      <c r="X327" s="3"/>
      <c r="Y327" s="3"/>
      <c r="Z327" s="3"/>
    </row>
    <row r="328" spans="1:26" ht="12.75">
      <c r="A328" s="3"/>
      <c r="D328" s="22"/>
      <c r="E328" s="22"/>
      <c r="F328" s="22"/>
      <c r="G328" s="22"/>
      <c r="H328" s="22"/>
      <c r="I328" s="22"/>
      <c r="J328" s="22"/>
      <c r="K328" s="22"/>
      <c r="L328" s="22"/>
      <c r="M328" s="22"/>
      <c r="O328" s="3"/>
      <c r="V328" s="3"/>
      <c r="W328" s="3"/>
      <c r="X328" s="3"/>
      <c r="Y328" s="3"/>
      <c r="Z328" s="3"/>
    </row>
    <row r="329" spans="1:26" ht="12.75">
      <c r="A329" s="3"/>
      <c r="D329" s="22"/>
      <c r="E329" s="22"/>
      <c r="F329" s="22"/>
      <c r="G329" s="22"/>
      <c r="H329" s="22"/>
      <c r="I329" s="22"/>
      <c r="J329" s="22"/>
      <c r="K329" s="22"/>
      <c r="L329" s="22"/>
      <c r="M329" s="22"/>
      <c r="O329" s="3"/>
      <c r="V329" s="3"/>
      <c r="W329" s="3"/>
      <c r="X329" s="3"/>
      <c r="Y329" s="3"/>
      <c r="Z329" s="3"/>
    </row>
    <row r="330" spans="1:26" ht="12.75">
      <c r="A330" s="3"/>
      <c r="D330" s="22"/>
      <c r="E330" s="22"/>
      <c r="F330" s="22"/>
      <c r="G330" s="22"/>
      <c r="H330" s="22"/>
      <c r="I330" s="22"/>
      <c r="J330" s="22"/>
      <c r="K330" s="22"/>
      <c r="L330" s="22"/>
      <c r="M330" s="22"/>
      <c r="O330" s="3"/>
      <c r="V330" s="3"/>
      <c r="W330" s="3"/>
      <c r="X330" s="3"/>
      <c r="Y330" s="3"/>
      <c r="Z330" s="3"/>
    </row>
    <row r="331" spans="1:26" ht="12.75">
      <c r="A331" s="3"/>
      <c r="D331" s="22"/>
      <c r="E331" s="22"/>
      <c r="F331" s="22"/>
      <c r="G331" s="22"/>
      <c r="H331" s="22"/>
      <c r="I331" s="22"/>
      <c r="J331" s="22"/>
      <c r="K331" s="22"/>
      <c r="L331" s="22"/>
      <c r="M331" s="22"/>
      <c r="O331" s="3"/>
      <c r="V331" s="3"/>
      <c r="W331" s="3"/>
      <c r="X331" s="3"/>
      <c r="Y331" s="3"/>
      <c r="Z331" s="3"/>
    </row>
    <row r="332" spans="1:26" ht="12.75">
      <c r="A332" s="3"/>
      <c r="D332" s="22"/>
      <c r="E332" s="22"/>
      <c r="F332" s="22"/>
      <c r="G332" s="22"/>
      <c r="H332" s="22"/>
      <c r="I332" s="22"/>
      <c r="J332" s="22"/>
      <c r="K332" s="22"/>
      <c r="L332" s="22"/>
      <c r="M332" s="22"/>
      <c r="O332" s="3"/>
      <c r="V332" s="3"/>
      <c r="W332" s="3"/>
      <c r="X332" s="3"/>
      <c r="Y332" s="3"/>
      <c r="Z332" s="3"/>
    </row>
    <row r="333" spans="1:26" ht="12.75">
      <c r="A333" s="3"/>
      <c r="D333" s="22"/>
      <c r="E333" s="22"/>
      <c r="F333" s="22"/>
      <c r="G333" s="22"/>
      <c r="H333" s="22"/>
      <c r="I333" s="22"/>
      <c r="J333" s="22"/>
      <c r="K333" s="22"/>
      <c r="L333" s="22"/>
      <c r="M333" s="22"/>
      <c r="O333" s="3"/>
      <c r="V333" s="3"/>
      <c r="W333" s="3"/>
      <c r="X333" s="3"/>
      <c r="Y333" s="3"/>
      <c r="Z333" s="3"/>
    </row>
    <row r="334" spans="1:26" ht="12.75">
      <c r="A334" s="3"/>
      <c r="D334" s="22"/>
      <c r="E334" s="22"/>
      <c r="F334" s="22"/>
      <c r="G334" s="22"/>
      <c r="H334" s="22"/>
      <c r="I334" s="22"/>
      <c r="J334" s="22"/>
      <c r="K334" s="22"/>
      <c r="L334" s="22"/>
      <c r="M334" s="22"/>
      <c r="O334" s="3"/>
      <c r="V334" s="3"/>
      <c r="W334" s="3"/>
      <c r="X334" s="3"/>
      <c r="Y334" s="3"/>
      <c r="Z334" s="3"/>
    </row>
    <row r="335" spans="1:26" ht="12.75">
      <c r="A335" s="3"/>
      <c r="D335" s="22"/>
      <c r="E335" s="22"/>
      <c r="F335" s="22"/>
      <c r="G335" s="22"/>
      <c r="H335" s="22"/>
      <c r="I335" s="22"/>
      <c r="J335" s="22"/>
      <c r="K335" s="22"/>
      <c r="L335" s="22"/>
      <c r="M335" s="22"/>
      <c r="O335" s="3"/>
      <c r="V335" s="3"/>
      <c r="W335" s="3"/>
      <c r="X335" s="3"/>
      <c r="Y335" s="3"/>
      <c r="Z335" s="3"/>
    </row>
    <row r="336" spans="1:26" ht="12.75">
      <c r="A336" s="3"/>
      <c r="D336" s="22"/>
      <c r="E336" s="22"/>
      <c r="F336" s="22"/>
      <c r="G336" s="22"/>
      <c r="H336" s="22"/>
      <c r="I336" s="22"/>
      <c r="J336" s="22"/>
      <c r="K336" s="22"/>
      <c r="L336" s="22"/>
      <c r="M336" s="22"/>
      <c r="O336" s="3"/>
      <c r="V336" s="3"/>
      <c r="W336" s="3"/>
      <c r="X336" s="3"/>
      <c r="Y336" s="3"/>
      <c r="Z336" s="3"/>
    </row>
    <row r="337" spans="1:26" ht="12.75">
      <c r="A337" s="3"/>
      <c r="D337" s="22"/>
      <c r="E337" s="22"/>
      <c r="F337" s="22"/>
      <c r="G337" s="22"/>
      <c r="H337" s="22"/>
      <c r="I337" s="22"/>
      <c r="J337" s="22"/>
      <c r="K337" s="22"/>
      <c r="L337" s="22"/>
      <c r="M337" s="22"/>
      <c r="O337" s="3"/>
      <c r="V337" s="3"/>
      <c r="W337" s="3"/>
      <c r="X337" s="3"/>
      <c r="Y337" s="3"/>
      <c r="Z337" s="3"/>
    </row>
    <row r="338" spans="1:26" ht="12.75">
      <c r="A338" s="3"/>
      <c r="D338" s="22"/>
      <c r="E338" s="22"/>
      <c r="F338" s="22"/>
      <c r="G338" s="22"/>
      <c r="H338" s="22"/>
      <c r="I338" s="22"/>
      <c r="J338" s="22"/>
      <c r="K338" s="22"/>
      <c r="L338" s="22"/>
      <c r="M338" s="22"/>
      <c r="O338" s="3"/>
      <c r="V338" s="3"/>
      <c r="W338" s="3"/>
      <c r="X338" s="3"/>
      <c r="Y338" s="3"/>
      <c r="Z338" s="3"/>
    </row>
    <row r="339" spans="1:26" ht="12.75">
      <c r="A339" s="3"/>
      <c r="D339" s="22"/>
      <c r="E339" s="22"/>
      <c r="F339" s="22"/>
      <c r="G339" s="22"/>
      <c r="H339" s="22"/>
      <c r="I339" s="22"/>
      <c r="J339" s="22"/>
      <c r="K339" s="22"/>
      <c r="L339" s="22"/>
      <c r="M339" s="22"/>
      <c r="O339" s="3"/>
      <c r="V339" s="3"/>
      <c r="W339" s="3"/>
      <c r="X339" s="3"/>
      <c r="Y339" s="3"/>
      <c r="Z339" s="3"/>
    </row>
    <row r="340" spans="1:26" ht="12.75">
      <c r="A340" s="3"/>
      <c r="D340" s="22"/>
      <c r="E340" s="22"/>
      <c r="F340" s="22"/>
      <c r="G340" s="22"/>
      <c r="H340" s="22"/>
      <c r="I340" s="22"/>
      <c r="J340" s="22"/>
      <c r="K340" s="22"/>
      <c r="L340" s="22"/>
      <c r="M340" s="22"/>
      <c r="O340" s="3"/>
      <c r="V340" s="3"/>
      <c r="W340" s="3"/>
      <c r="X340" s="3"/>
      <c r="Y340" s="3"/>
      <c r="Z340" s="3"/>
    </row>
    <row r="341" spans="1:26" ht="12.75">
      <c r="A341" s="3"/>
      <c r="D341" s="22"/>
      <c r="E341" s="22"/>
      <c r="F341" s="22"/>
      <c r="G341" s="22"/>
      <c r="H341" s="22"/>
      <c r="I341" s="22"/>
      <c r="J341" s="22"/>
      <c r="K341" s="22"/>
      <c r="L341" s="22"/>
      <c r="M341" s="22"/>
      <c r="O341" s="3"/>
      <c r="V341" s="3"/>
      <c r="W341" s="3"/>
      <c r="X341" s="3"/>
      <c r="Y341" s="3"/>
      <c r="Z341" s="3"/>
    </row>
    <row r="342" spans="1:26" ht="12.75">
      <c r="A342" s="3"/>
      <c r="D342" s="22"/>
      <c r="E342" s="22"/>
      <c r="F342" s="22"/>
      <c r="G342" s="22"/>
      <c r="H342" s="22"/>
      <c r="I342" s="22"/>
      <c r="J342" s="22"/>
      <c r="K342" s="22"/>
      <c r="L342" s="22"/>
      <c r="M342" s="22"/>
      <c r="O342" s="3"/>
      <c r="V342" s="3"/>
      <c r="W342" s="3"/>
      <c r="X342" s="3"/>
      <c r="Y342" s="3"/>
      <c r="Z342" s="3"/>
    </row>
    <row r="343" spans="1:26" ht="12.75">
      <c r="A343" s="3"/>
      <c r="D343" s="22"/>
      <c r="E343" s="22"/>
      <c r="F343" s="22"/>
      <c r="G343" s="22"/>
      <c r="H343" s="22"/>
      <c r="I343" s="22"/>
      <c r="J343" s="22"/>
      <c r="K343" s="22"/>
      <c r="L343" s="22"/>
      <c r="M343" s="22"/>
      <c r="O343" s="3"/>
      <c r="V343" s="3"/>
      <c r="W343" s="3"/>
      <c r="X343" s="3"/>
      <c r="Y343" s="3"/>
      <c r="Z343" s="3"/>
    </row>
    <row r="344" spans="1:26" ht="12.75">
      <c r="A344" s="3"/>
      <c r="D344" s="22"/>
      <c r="E344" s="22"/>
      <c r="F344" s="22"/>
      <c r="G344" s="22"/>
      <c r="H344" s="22"/>
      <c r="I344" s="22"/>
      <c r="J344" s="22"/>
      <c r="K344" s="22"/>
      <c r="L344" s="22"/>
      <c r="M344" s="22"/>
      <c r="O344" s="3"/>
      <c r="V344" s="3"/>
      <c r="W344" s="3"/>
      <c r="X344" s="3"/>
      <c r="Y344" s="3"/>
      <c r="Z344" s="3"/>
    </row>
    <row r="345" spans="1:26" ht="12.75">
      <c r="A345" s="3"/>
      <c r="D345" s="22"/>
      <c r="E345" s="22"/>
      <c r="F345" s="22"/>
      <c r="G345" s="22"/>
      <c r="H345" s="22"/>
      <c r="I345" s="22"/>
      <c r="J345" s="22"/>
      <c r="K345" s="22"/>
      <c r="L345" s="22"/>
      <c r="M345" s="22"/>
      <c r="O345" s="3"/>
      <c r="V345" s="3"/>
      <c r="W345" s="3"/>
      <c r="X345" s="3"/>
      <c r="Y345" s="3"/>
      <c r="Z345" s="3"/>
    </row>
    <row r="346" spans="1:26" ht="12.75">
      <c r="A346" s="3"/>
      <c r="D346" s="22"/>
      <c r="E346" s="22"/>
      <c r="F346" s="22"/>
      <c r="G346" s="22"/>
      <c r="H346" s="22"/>
      <c r="I346" s="22"/>
      <c r="J346" s="22"/>
      <c r="K346" s="22"/>
      <c r="L346" s="22"/>
      <c r="M346" s="22"/>
      <c r="O346" s="3"/>
      <c r="V346" s="3"/>
      <c r="W346" s="3"/>
      <c r="X346" s="3"/>
      <c r="Y346" s="3"/>
      <c r="Z346" s="3"/>
    </row>
    <row r="347" spans="1:26" ht="12.75">
      <c r="A347" s="3"/>
      <c r="D347" s="22"/>
      <c r="E347" s="22"/>
      <c r="F347" s="22"/>
      <c r="G347" s="22"/>
      <c r="H347" s="22"/>
      <c r="I347" s="22"/>
      <c r="J347" s="22"/>
      <c r="K347" s="22"/>
      <c r="L347" s="22"/>
      <c r="M347" s="22"/>
      <c r="O347" s="3"/>
      <c r="V347" s="3"/>
      <c r="W347" s="3"/>
      <c r="X347" s="3"/>
      <c r="Y347" s="3"/>
      <c r="Z347" s="3"/>
    </row>
    <row r="348" spans="1:26" ht="12.75">
      <c r="A348" s="3"/>
      <c r="D348" s="22"/>
      <c r="E348" s="22"/>
      <c r="F348" s="22"/>
      <c r="G348" s="22"/>
      <c r="H348" s="22"/>
      <c r="I348" s="22"/>
      <c r="J348" s="22"/>
      <c r="K348" s="22"/>
      <c r="L348" s="22"/>
      <c r="M348" s="22"/>
      <c r="O348" s="3"/>
      <c r="V348" s="3"/>
      <c r="W348" s="3"/>
      <c r="X348" s="3"/>
      <c r="Y348" s="3"/>
      <c r="Z348" s="3"/>
    </row>
    <row r="349" spans="1:26" ht="12.75">
      <c r="A349" s="3"/>
      <c r="D349" s="22"/>
      <c r="E349" s="22"/>
      <c r="F349" s="22"/>
      <c r="G349" s="22"/>
      <c r="H349" s="22"/>
      <c r="I349" s="22"/>
      <c r="J349" s="22"/>
      <c r="K349" s="22"/>
      <c r="L349" s="22"/>
      <c r="M349" s="22"/>
      <c r="O349" s="3"/>
      <c r="V349" s="3"/>
      <c r="W349" s="3"/>
      <c r="X349" s="3"/>
      <c r="Y349" s="3"/>
      <c r="Z349" s="3"/>
    </row>
    <row r="350" spans="1:26" ht="12.75">
      <c r="A350" s="3"/>
      <c r="D350" s="22"/>
      <c r="E350" s="22"/>
      <c r="F350" s="22"/>
      <c r="G350" s="22"/>
      <c r="H350" s="22"/>
      <c r="I350" s="22"/>
      <c r="J350" s="22"/>
      <c r="K350" s="22"/>
      <c r="L350" s="22"/>
      <c r="M350" s="22"/>
      <c r="O350" s="3"/>
      <c r="V350" s="3"/>
      <c r="W350" s="3"/>
      <c r="X350" s="3"/>
      <c r="Y350" s="3"/>
      <c r="Z350" s="3"/>
    </row>
    <row r="351" spans="1:26" ht="12.75">
      <c r="A351" s="3"/>
      <c r="D351" s="22"/>
      <c r="E351" s="22"/>
      <c r="F351" s="22"/>
      <c r="G351" s="22"/>
      <c r="H351" s="22"/>
      <c r="I351" s="22"/>
      <c r="J351" s="22"/>
      <c r="K351" s="22"/>
      <c r="L351" s="22"/>
      <c r="M351" s="22"/>
      <c r="O351" s="3"/>
      <c r="V351" s="3"/>
      <c r="W351" s="3"/>
      <c r="X351" s="3"/>
      <c r="Y351" s="3"/>
      <c r="Z351" s="3"/>
    </row>
    <row r="352" spans="1:26" ht="12.75">
      <c r="A352" s="3"/>
      <c r="D352" s="22"/>
      <c r="E352" s="22"/>
      <c r="F352" s="22"/>
      <c r="G352" s="22"/>
      <c r="H352" s="22"/>
      <c r="I352" s="22"/>
      <c r="J352" s="22"/>
      <c r="K352" s="22"/>
      <c r="L352" s="22"/>
      <c r="M352" s="22"/>
      <c r="O352" s="3"/>
      <c r="V352" s="3"/>
      <c r="W352" s="3"/>
      <c r="X352" s="3"/>
      <c r="Y352" s="3"/>
      <c r="Z352" s="3"/>
    </row>
    <row r="353" spans="1:26" ht="12.75">
      <c r="A353" s="3"/>
      <c r="D353" s="22"/>
      <c r="E353" s="22"/>
      <c r="F353" s="22"/>
      <c r="G353" s="22"/>
      <c r="H353" s="22"/>
      <c r="I353" s="22"/>
      <c r="J353" s="22"/>
      <c r="K353" s="22"/>
      <c r="L353" s="22"/>
      <c r="M353" s="22"/>
      <c r="O353" s="3"/>
      <c r="V353" s="3"/>
      <c r="W353" s="3"/>
      <c r="X353" s="3"/>
      <c r="Y353" s="3"/>
      <c r="Z353" s="3"/>
    </row>
    <row r="354" spans="1:26" ht="12.75">
      <c r="A354" s="3"/>
      <c r="D354" s="22"/>
      <c r="E354" s="22"/>
      <c r="F354" s="22"/>
      <c r="G354" s="22"/>
      <c r="H354" s="22"/>
      <c r="I354" s="22"/>
      <c r="J354" s="22"/>
      <c r="K354" s="22"/>
      <c r="L354" s="22"/>
      <c r="M354" s="22"/>
      <c r="O354" s="3"/>
      <c r="V354" s="3"/>
      <c r="W354" s="3"/>
      <c r="X354" s="3"/>
      <c r="Y354" s="3"/>
      <c r="Z354" s="3"/>
    </row>
    <row r="355" spans="1:26" ht="12.75">
      <c r="A355" s="3"/>
      <c r="D355" s="22"/>
      <c r="E355" s="22"/>
      <c r="F355" s="22"/>
      <c r="G355" s="22"/>
      <c r="H355" s="22"/>
      <c r="I355" s="22"/>
      <c r="J355" s="22"/>
      <c r="K355" s="22"/>
      <c r="L355" s="22"/>
      <c r="M355" s="22"/>
      <c r="O355" s="3"/>
      <c r="V355" s="3"/>
      <c r="W355" s="3"/>
      <c r="X355" s="3"/>
      <c r="Y355" s="3"/>
      <c r="Z355" s="3"/>
    </row>
    <row r="356" spans="1:26" ht="12.75">
      <c r="A356" s="3"/>
      <c r="D356" s="22"/>
      <c r="E356" s="22"/>
      <c r="F356" s="22"/>
      <c r="G356" s="22"/>
      <c r="H356" s="22"/>
      <c r="I356" s="22"/>
      <c r="J356" s="22"/>
      <c r="K356" s="22"/>
      <c r="L356" s="22"/>
      <c r="M356" s="22"/>
      <c r="O356" s="3"/>
      <c r="V356" s="3"/>
      <c r="W356" s="3"/>
      <c r="X356" s="3"/>
      <c r="Y356" s="3"/>
      <c r="Z356" s="3"/>
    </row>
    <row r="357" spans="1:26" ht="12.75">
      <c r="A357" s="3"/>
      <c r="D357" s="22"/>
      <c r="E357" s="22"/>
      <c r="F357" s="22"/>
      <c r="G357" s="22"/>
      <c r="H357" s="22"/>
      <c r="I357" s="22"/>
      <c r="J357" s="22"/>
      <c r="K357" s="22"/>
      <c r="L357" s="22"/>
      <c r="M357" s="22"/>
      <c r="O357" s="3"/>
      <c r="V357" s="3"/>
      <c r="W357" s="3"/>
      <c r="X357" s="3"/>
      <c r="Y357" s="3"/>
      <c r="Z357" s="3"/>
    </row>
    <row r="358" spans="1:26" ht="12.75">
      <c r="A358" s="3"/>
      <c r="D358" s="22"/>
      <c r="E358" s="22"/>
      <c r="F358" s="22"/>
      <c r="G358" s="22"/>
      <c r="H358" s="22"/>
      <c r="I358" s="22"/>
      <c r="J358" s="22"/>
      <c r="K358" s="22"/>
      <c r="L358" s="22"/>
      <c r="M358" s="22"/>
      <c r="O358" s="3"/>
      <c r="V358" s="3"/>
      <c r="W358" s="3"/>
      <c r="X358" s="3"/>
      <c r="Y358" s="3"/>
      <c r="Z358" s="3"/>
    </row>
    <row r="359" spans="1:26" ht="12.75">
      <c r="A359" s="3"/>
      <c r="D359" s="22"/>
      <c r="E359" s="22"/>
      <c r="F359" s="22"/>
      <c r="G359" s="22"/>
      <c r="H359" s="22"/>
      <c r="I359" s="22"/>
      <c r="J359" s="22"/>
      <c r="K359" s="22"/>
      <c r="L359" s="22"/>
      <c r="M359" s="22"/>
      <c r="O359" s="3"/>
      <c r="V359" s="3"/>
      <c r="W359" s="3"/>
      <c r="X359" s="3"/>
      <c r="Y359" s="3"/>
      <c r="Z359" s="3"/>
    </row>
    <row r="360" spans="1:26" ht="12.75">
      <c r="A360" s="3"/>
      <c r="D360" s="22"/>
      <c r="E360" s="22"/>
      <c r="F360" s="22"/>
      <c r="G360" s="22"/>
      <c r="H360" s="22"/>
      <c r="I360" s="22"/>
      <c r="J360" s="22"/>
      <c r="K360" s="22"/>
      <c r="L360" s="22"/>
      <c r="M360" s="22"/>
      <c r="O360" s="3"/>
      <c r="V360" s="3"/>
      <c r="W360" s="3"/>
      <c r="X360" s="3"/>
      <c r="Y360" s="3"/>
      <c r="Z360" s="3"/>
    </row>
    <row r="361" spans="1:26" ht="12.75">
      <c r="A361" s="3"/>
      <c r="D361" s="22"/>
      <c r="E361" s="22"/>
      <c r="F361" s="22"/>
      <c r="G361" s="22"/>
      <c r="H361" s="22"/>
      <c r="I361" s="22"/>
      <c r="J361" s="22"/>
      <c r="K361" s="22"/>
      <c r="L361" s="22"/>
      <c r="M361" s="22"/>
      <c r="O361" s="3"/>
      <c r="V361" s="3"/>
      <c r="W361" s="3"/>
      <c r="X361" s="3"/>
      <c r="Y361" s="3"/>
      <c r="Z361" s="3"/>
    </row>
    <row r="362" spans="1:26" ht="12.75">
      <c r="A362" s="3"/>
      <c r="D362" s="22"/>
      <c r="E362" s="22"/>
      <c r="F362" s="22"/>
      <c r="G362" s="22"/>
      <c r="H362" s="22"/>
      <c r="I362" s="22"/>
      <c r="J362" s="22"/>
      <c r="K362" s="22"/>
      <c r="L362" s="22"/>
      <c r="M362" s="22"/>
      <c r="O362" s="3"/>
      <c r="V362" s="3"/>
      <c r="W362" s="3"/>
      <c r="X362" s="3"/>
      <c r="Y362" s="3"/>
      <c r="Z362" s="3"/>
    </row>
    <row r="363" spans="1:26" ht="12.75">
      <c r="A363" s="3"/>
      <c r="D363" s="22"/>
      <c r="E363" s="22"/>
      <c r="F363" s="22"/>
      <c r="G363" s="22"/>
      <c r="H363" s="22"/>
      <c r="I363" s="22"/>
      <c r="J363" s="22"/>
      <c r="K363" s="22"/>
      <c r="L363" s="22"/>
      <c r="M363" s="22"/>
      <c r="O363" s="3"/>
      <c r="V363" s="3"/>
      <c r="W363" s="3"/>
      <c r="X363" s="3"/>
      <c r="Y363" s="3"/>
      <c r="Z363" s="3"/>
    </row>
    <row r="364" spans="1:26" ht="12.75">
      <c r="A364" s="3"/>
      <c r="D364" s="22"/>
      <c r="E364" s="22"/>
      <c r="F364" s="22"/>
      <c r="G364" s="22"/>
      <c r="H364" s="22"/>
      <c r="I364" s="22"/>
      <c r="J364" s="22"/>
      <c r="K364" s="22"/>
      <c r="L364" s="22"/>
      <c r="M364" s="22"/>
      <c r="O364" s="3"/>
      <c r="V364" s="3"/>
      <c r="W364" s="3"/>
      <c r="X364" s="3"/>
      <c r="Y364" s="3"/>
      <c r="Z364" s="3"/>
    </row>
    <row r="365" spans="1:26" ht="12.75">
      <c r="A365" s="3"/>
      <c r="D365" s="22"/>
      <c r="E365" s="22"/>
      <c r="F365" s="22"/>
      <c r="G365" s="22"/>
      <c r="H365" s="22"/>
      <c r="I365" s="22"/>
      <c r="J365" s="22"/>
      <c r="K365" s="22"/>
      <c r="L365" s="22"/>
      <c r="M365" s="22"/>
      <c r="O365" s="3"/>
      <c r="V365" s="3"/>
      <c r="W365" s="3"/>
      <c r="X365" s="3"/>
      <c r="Y365" s="3"/>
      <c r="Z365" s="3"/>
    </row>
    <row r="366" spans="1:26" ht="12.75">
      <c r="A366" s="3"/>
      <c r="D366" s="22"/>
      <c r="E366" s="22"/>
      <c r="F366" s="22"/>
      <c r="G366" s="22"/>
      <c r="H366" s="22"/>
      <c r="I366" s="22"/>
      <c r="J366" s="22"/>
      <c r="K366" s="22"/>
      <c r="L366" s="22"/>
      <c r="M366" s="22"/>
      <c r="O366" s="3"/>
      <c r="V366" s="3"/>
      <c r="W366" s="3"/>
      <c r="X366" s="3"/>
      <c r="Y366" s="3"/>
      <c r="Z366" s="3"/>
    </row>
    <row r="367" spans="1:26" ht="12.75">
      <c r="A367" s="3"/>
      <c r="D367" s="22"/>
      <c r="E367" s="22"/>
      <c r="F367" s="22"/>
      <c r="G367" s="22"/>
      <c r="H367" s="22"/>
      <c r="I367" s="22"/>
      <c r="J367" s="22"/>
      <c r="K367" s="22"/>
      <c r="L367" s="22"/>
      <c r="M367" s="22"/>
      <c r="O367" s="3"/>
      <c r="V367" s="3"/>
      <c r="W367" s="3"/>
      <c r="X367" s="3"/>
      <c r="Y367" s="3"/>
      <c r="Z367" s="3"/>
    </row>
    <row r="368" spans="1:26" ht="12.75">
      <c r="A368" s="3"/>
      <c r="D368" s="22"/>
      <c r="E368" s="22"/>
      <c r="F368" s="22"/>
      <c r="G368" s="22"/>
      <c r="H368" s="22"/>
      <c r="I368" s="22"/>
      <c r="J368" s="22"/>
      <c r="K368" s="22"/>
      <c r="L368" s="22"/>
      <c r="M368" s="22"/>
      <c r="O368" s="3"/>
      <c r="V368" s="3"/>
      <c r="W368" s="3"/>
      <c r="X368" s="3"/>
      <c r="Y368" s="3"/>
      <c r="Z368" s="3"/>
    </row>
    <row r="369" spans="1:26" ht="12.75">
      <c r="A369" s="3"/>
      <c r="D369" s="22"/>
      <c r="E369" s="22"/>
      <c r="F369" s="22"/>
      <c r="G369" s="22"/>
      <c r="H369" s="22"/>
      <c r="I369" s="22"/>
      <c r="J369" s="22"/>
      <c r="K369" s="22"/>
      <c r="L369" s="22"/>
      <c r="M369" s="22"/>
      <c r="O369" s="3"/>
      <c r="V369" s="3"/>
      <c r="W369" s="3"/>
      <c r="X369" s="3"/>
      <c r="Y369" s="3"/>
      <c r="Z369" s="3"/>
    </row>
    <row r="370" spans="1:26" ht="12.75">
      <c r="A370" s="3"/>
      <c r="D370" s="22"/>
      <c r="E370" s="22"/>
      <c r="F370" s="22"/>
      <c r="G370" s="22"/>
      <c r="H370" s="22"/>
      <c r="I370" s="22"/>
      <c r="J370" s="22"/>
      <c r="K370" s="22"/>
      <c r="L370" s="22"/>
      <c r="M370" s="22"/>
      <c r="O370" s="3"/>
      <c r="V370" s="3"/>
      <c r="W370" s="3"/>
      <c r="X370" s="3"/>
      <c r="Y370" s="3"/>
      <c r="Z370" s="3"/>
    </row>
    <row r="371" spans="1:26" ht="12.75">
      <c r="A371" s="3"/>
      <c r="D371" s="22"/>
      <c r="E371" s="22"/>
      <c r="F371" s="22"/>
      <c r="G371" s="22"/>
      <c r="H371" s="22"/>
      <c r="I371" s="22"/>
      <c r="J371" s="22"/>
      <c r="K371" s="22"/>
      <c r="L371" s="22"/>
      <c r="M371" s="22"/>
      <c r="O371" s="3"/>
      <c r="V371" s="3"/>
      <c r="W371" s="3"/>
      <c r="X371" s="3"/>
      <c r="Y371" s="3"/>
      <c r="Z371" s="3"/>
    </row>
    <row r="372" spans="1:26" ht="12.75">
      <c r="A372" s="3"/>
      <c r="D372" s="22"/>
      <c r="E372" s="22"/>
      <c r="F372" s="22"/>
      <c r="G372" s="22"/>
      <c r="H372" s="22"/>
      <c r="I372" s="22"/>
      <c r="J372" s="22"/>
      <c r="K372" s="22"/>
      <c r="L372" s="22"/>
      <c r="M372" s="22"/>
      <c r="O372" s="3"/>
      <c r="V372" s="3"/>
      <c r="W372" s="3"/>
      <c r="X372" s="3"/>
      <c r="Y372" s="3"/>
      <c r="Z372" s="3"/>
    </row>
    <row r="373" spans="1:26" ht="12.75">
      <c r="A373" s="3"/>
      <c r="D373" s="22"/>
      <c r="E373" s="22"/>
      <c r="F373" s="22"/>
      <c r="G373" s="22"/>
      <c r="H373" s="22"/>
      <c r="I373" s="22"/>
      <c r="J373" s="22"/>
      <c r="K373" s="22"/>
      <c r="L373" s="22"/>
      <c r="M373" s="22"/>
      <c r="O373" s="3"/>
      <c r="V373" s="3"/>
      <c r="W373" s="3"/>
      <c r="X373" s="3"/>
      <c r="Y373" s="3"/>
      <c r="Z373" s="3"/>
    </row>
    <row r="374" spans="1:26" ht="12.75">
      <c r="A374" s="3"/>
      <c r="D374" s="22"/>
      <c r="E374" s="22"/>
      <c r="F374" s="22"/>
      <c r="G374" s="22"/>
      <c r="H374" s="22"/>
      <c r="I374" s="22"/>
      <c r="J374" s="22"/>
      <c r="K374" s="22"/>
      <c r="L374" s="22"/>
      <c r="M374" s="22"/>
      <c r="O374" s="3"/>
      <c r="V374" s="3"/>
      <c r="W374" s="3"/>
      <c r="X374" s="3"/>
      <c r="Y374" s="3"/>
      <c r="Z374" s="3"/>
    </row>
    <row r="375" spans="1:26" ht="12.75">
      <c r="A375" s="3"/>
      <c r="D375" s="22"/>
      <c r="E375" s="22"/>
      <c r="F375" s="22"/>
      <c r="G375" s="22"/>
      <c r="H375" s="22"/>
      <c r="I375" s="22"/>
      <c r="J375" s="22"/>
      <c r="K375" s="22"/>
      <c r="L375" s="22"/>
      <c r="M375" s="22"/>
      <c r="O375" s="3"/>
      <c r="V375" s="3"/>
      <c r="W375" s="3"/>
      <c r="X375" s="3"/>
      <c r="Y375" s="3"/>
      <c r="Z375" s="3"/>
    </row>
    <row r="376" spans="1:26" ht="12.75">
      <c r="A376" s="3"/>
      <c r="D376" s="22"/>
      <c r="E376" s="22"/>
      <c r="F376" s="22"/>
      <c r="G376" s="22"/>
      <c r="H376" s="22"/>
      <c r="I376" s="22"/>
      <c r="J376" s="22"/>
      <c r="K376" s="22"/>
      <c r="L376" s="22"/>
      <c r="M376" s="22"/>
      <c r="O376" s="3"/>
      <c r="V376" s="3"/>
      <c r="W376" s="3"/>
      <c r="X376" s="3"/>
      <c r="Y376" s="3"/>
      <c r="Z376" s="3"/>
    </row>
    <row r="377" spans="1:26" ht="12.75">
      <c r="A377" s="3"/>
      <c r="D377" s="22"/>
      <c r="E377" s="22"/>
      <c r="F377" s="22"/>
      <c r="G377" s="22"/>
      <c r="H377" s="22"/>
      <c r="I377" s="22"/>
      <c r="J377" s="22"/>
      <c r="K377" s="22"/>
      <c r="L377" s="22"/>
      <c r="M377" s="22"/>
      <c r="O377" s="3"/>
      <c r="V377" s="3"/>
      <c r="W377" s="3"/>
      <c r="X377" s="3"/>
      <c r="Y377" s="3"/>
      <c r="Z377" s="3"/>
    </row>
    <row r="378" spans="1:26" ht="12.75">
      <c r="A378" s="3"/>
      <c r="D378" s="22"/>
      <c r="E378" s="22"/>
      <c r="F378" s="22"/>
      <c r="G378" s="22"/>
      <c r="H378" s="22"/>
      <c r="I378" s="22"/>
      <c r="J378" s="22"/>
      <c r="K378" s="22"/>
      <c r="L378" s="22"/>
      <c r="M378" s="22"/>
      <c r="O378" s="3"/>
      <c r="V378" s="3"/>
      <c r="W378" s="3"/>
      <c r="X378" s="3"/>
      <c r="Y378" s="3"/>
      <c r="Z378" s="3"/>
    </row>
    <row r="379" spans="1:26" ht="12.75">
      <c r="A379" s="3"/>
      <c r="D379" s="22"/>
      <c r="E379" s="22"/>
      <c r="F379" s="22"/>
      <c r="G379" s="22"/>
      <c r="H379" s="22"/>
      <c r="I379" s="22"/>
      <c r="J379" s="22"/>
      <c r="K379" s="22"/>
      <c r="L379" s="22"/>
      <c r="M379" s="22"/>
      <c r="O379" s="3"/>
      <c r="V379" s="3"/>
      <c r="W379" s="3"/>
      <c r="X379" s="3"/>
      <c r="Y379" s="3"/>
      <c r="Z379" s="3"/>
    </row>
    <row r="380" spans="1:26" ht="12.75">
      <c r="A380" s="3"/>
      <c r="D380" s="22"/>
      <c r="E380" s="22"/>
      <c r="F380" s="22"/>
      <c r="G380" s="22"/>
      <c r="H380" s="22"/>
      <c r="I380" s="22"/>
      <c r="J380" s="22"/>
      <c r="K380" s="22"/>
      <c r="L380" s="22"/>
      <c r="M380" s="22"/>
      <c r="O380" s="3"/>
      <c r="V380" s="3"/>
      <c r="W380" s="3"/>
      <c r="X380" s="3"/>
      <c r="Y380" s="3"/>
      <c r="Z380" s="3"/>
    </row>
    <row r="381" spans="1:26" ht="12.75">
      <c r="A381" s="3"/>
      <c r="D381" s="22"/>
      <c r="E381" s="22"/>
      <c r="F381" s="22"/>
      <c r="G381" s="22"/>
      <c r="H381" s="22"/>
      <c r="I381" s="22"/>
      <c r="J381" s="22"/>
      <c r="K381" s="22"/>
      <c r="L381" s="22"/>
      <c r="M381" s="22"/>
      <c r="O381" s="3"/>
      <c r="V381" s="3"/>
      <c r="W381" s="3"/>
      <c r="X381" s="3"/>
      <c r="Y381" s="3"/>
      <c r="Z381" s="3"/>
    </row>
    <row r="382" spans="1:26" ht="12.75">
      <c r="A382" s="3"/>
      <c r="D382" s="22"/>
      <c r="E382" s="22"/>
      <c r="F382" s="22"/>
      <c r="G382" s="22"/>
      <c r="H382" s="22"/>
      <c r="I382" s="22"/>
      <c r="J382" s="22"/>
      <c r="K382" s="22"/>
      <c r="L382" s="22"/>
      <c r="M382" s="22"/>
      <c r="O382" s="3"/>
      <c r="V382" s="3"/>
      <c r="W382" s="3"/>
      <c r="X382" s="3"/>
      <c r="Y382" s="3"/>
      <c r="Z382" s="3"/>
    </row>
    <row r="383" spans="1:26" ht="12.75">
      <c r="A383" s="3"/>
      <c r="D383" s="22"/>
      <c r="E383" s="22"/>
      <c r="F383" s="22"/>
      <c r="G383" s="22"/>
      <c r="H383" s="22"/>
      <c r="I383" s="22"/>
      <c r="J383" s="22"/>
      <c r="K383" s="22"/>
      <c r="L383" s="22"/>
      <c r="M383" s="22"/>
      <c r="O383" s="3"/>
      <c r="V383" s="3"/>
      <c r="W383" s="3"/>
      <c r="X383" s="3"/>
      <c r="Y383" s="3"/>
      <c r="Z383" s="3"/>
    </row>
    <row r="384" spans="1:26" ht="12.75">
      <c r="A384" s="3"/>
      <c r="D384" s="22"/>
      <c r="E384" s="22"/>
      <c r="F384" s="22"/>
      <c r="G384" s="22"/>
      <c r="H384" s="22"/>
      <c r="I384" s="22"/>
      <c r="J384" s="22"/>
      <c r="K384" s="22"/>
      <c r="L384" s="22"/>
      <c r="M384" s="22"/>
      <c r="O384" s="3"/>
      <c r="V384" s="3"/>
      <c r="W384" s="3"/>
      <c r="X384" s="3"/>
      <c r="Y384" s="3"/>
      <c r="Z384" s="3"/>
    </row>
    <row r="385" spans="1:26" ht="12.75">
      <c r="A385" s="3"/>
      <c r="D385" s="22"/>
      <c r="E385" s="22"/>
      <c r="F385" s="22"/>
      <c r="G385" s="22"/>
      <c r="H385" s="22"/>
      <c r="I385" s="22"/>
      <c r="J385" s="22"/>
      <c r="K385" s="22"/>
      <c r="L385" s="22"/>
      <c r="M385" s="22"/>
      <c r="O385" s="3"/>
      <c r="V385" s="3"/>
      <c r="W385" s="3"/>
      <c r="X385" s="3"/>
      <c r="Y385" s="3"/>
      <c r="Z385" s="3"/>
    </row>
    <row r="386" spans="1:26" ht="12.75">
      <c r="A386" s="3"/>
      <c r="D386" s="22"/>
      <c r="E386" s="22"/>
      <c r="F386" s="22"/>
      <c r="G386" s="22"/>
      <c r="H386" s="22"/>
      <c r="I386" s="22"/>
      <c r="J386" s="22"/>
      <c r="K386" s="22"/>
      <c r="L386" s="22"/>
      <c r="M386" s="22"/>
      <c r="O386" s="3"/>
      <c r="V386" s="3"/>
      <c r="W386" s="3"/>
      <c r="X386" s="3"/>
      <c r="Y386" s="3"/>
      <c r="Z386" s="3"/>
    </row>
    <row r="387" spans="1:26" ht="12.75">
      <c r="A387" s="3"/>
      <c r="D387" s="22"/>
      <c r="E387" s="22"/>
      <c r="F387" s="22"/>
      <c r="G387" s="22"/>
      <c r="H387" s="22"/>
      <c r="I387" s="22"/>
      <c r="J387" s="22"/>
      <c r="K387" s="22"/>
      <c r="L387" s="22"/>
      <c r="M387" s="22"/>
      <c r="O387" s="3"/>
      <c r="V387" s="3"/>
      <c r="W387" s="3"/>
      <c r="X387" s="3"/>
      <c r="Y387" s="3"/>
      <c r="Z387" s="3"/>
    </row>
    <row r="388" spans="1:26" ht="12.75">
      <c r="A388" s="3"/>
      <c r="D388" s="22"/>
      <c r="E388" s="22"/>
      <c r="F388" s="22"/>
      <c r="G388" s="22"/>
      <c r="H388" s="22"/>
      <c r="I388" s="22"/>
      <c r="J388" s="22"/>
      <c r="K388" s="22"/>
      <c r="L388" s="22"/>
      <c r="M388" s="22"/>
      <c r="O388" s="3"/>
      <c r="V388" s="3"/>
      <c r="W388" s="3"/>
      <c r="X388" s="3"/>
      <c r="Y388" s="3"/>
      <c r="Z388" s="3"/>
    </row>
    <row r="389" spans="1:26" ht="12.75">
      <c r="A389" s="3"/>
      <c r="D389" s="22"/>
      <c r="E389" s="22"/>
      <c r="F389" s="22"/>
      <c r="G389" s="22"/>
      <c r="H389" s="22"/>
      <c r="I389" s="22"/>
      <c r="J389" s="22"/>
      <c r="K389" s="22"/>
      <c r="L389" s="22"/>
      <c r="M389" s="22"/>
      <c r="O389" s="3"/>
      <c r="V389" s="3"/>
      <c r="W389" s="3"/>
      <c r="X389" s="3"/>
      <c r="Y389" s="3"/>
      <c r="Z389" s="3"/>
    </row>
    <row r="390" spans="1:26" ht="12.75">
      <c r="A390" s="3"/>
      <c r="D390" s="22"/>
      <c r="E390" s="22"/>
      <c r="F390" s="22"/>
      <c r="G390" s="22"/>
      <c r="H390" s="22"/>
      <c r="I390" s="22"/>
      <c r="J390" s="22"/>
      <c r="K390" s="22"/>
      <c r="L390" s="22"/>
      <c r="M390" s="22"/>
      <c r="O390" s="3"/>
      <c r="V390" s="3"/>
      <c r="W390" s="3"/>
      <c r="X390" s="3"/>
      <c r="Y390" s="3"/>
      <c r="Z390" s="3"/>
    </row>
    <row r="391" spans="1:26" ht="12.75">
      <c r="A391" s="3"/>
      <c r="D391" s="22"/>
      <c r="E391" s="22"/>
      <c r="F391" s="22"/>
      <c r="G391" s="22"/>
      <c r="H391" s="22"/>
      <c r="I391" s="22"/>
      <c r="J391" s="22"/>
      <c r="K391" s="22"/>
      <c r="L391" s="22"/>
      <c r="M391" s="22"/>
      <c r="O391" s="3"/>
      <c r="V391" s="3"/>
      <c r="W391" s="3"/>
      <c r="X391" s="3"/>
      <c r="Y391" s="3"/>
      <c r="Z391" s="3"/>
    </row>
    <row r="392" spans="1:26" ht="12.75">
      <c r="A392" s="3"/>
      <c r="D392" s="22"/>
      <c r="E392" s="22"/>
      <c r="F392" s="22"/>
      <c r="G392" s="22"/>
      <c r="H392" s="22"/>
      <c r="I392" s="22"/>
      <c r="J392" s="22"/>
      <c r="K392" s="22"/>
      <c r="L392" s="22"/>
      <c r="M392" s="22"/>
      <c r="O392" s="3"/>
      <c r="V392" s="3"/>
      <c r="W392" s="3"/>
      <c r="X392" s="3"/>
      <c r="Y392" s="3"/>
      <c r="Z392" s="3"/>
    </row>
    <row r="393" spans="1:26" ht="12.75">
      <c r="A393" s="3"/>
      <c r="D393" s="22"/>
      <c r="E393" s="22"/>
      <c r="F393" s="22"/>
      <c r="G393" s="22"/>
      <c r="H393" s="22"/>
      <c r="I393" s="22"/>
      <c r="J393" s="22"/>
      <c r="K393" s="22"/>
      <c r="L393" s="22"/>
      <c r="M393" s="22"/>
      <c r="O393" s="3"/>
      <c r="V393" s="3"/>
      <c r="W393" s="3"/>
      <c r="X393" s="3"/>
      <c r="Y393" s="3"/>
      <c r="Z393" s="3"/>
    </row>
    <row r="394" spans="1:26" ht="12.75">
      <c r="A394" s="3"/>
      <c r="D394" s="22"/>
      <c r="E394" s="22"/>
      <c r="F394" s="22"/>
      <c r="G394" s="22"/>
      <c r="H394" s="22"/>
      <c r="I394" s="22"/>
      <c r="J394" s="22"/>
      <c r="K394" s="22"/>
      <c r="L394" s="22"/>
      <c r="M394" s="22"/>
      <c r="O394" s="3"/>
      <c r="V394" s="3"/>
      <c r="W394" s="3"/>
      <c r="X394" s="3"/>
      <c r="Y394" s="3"/>
      <c r="Z394" s="3"/>
    </row>
    <row r="395" spans="1:26" ht="12.75">
      <c r="A395" s="3"/>
      <c r="D395" s="22"/>
      <c r="E395" s="22"/>
      <c r="F395" s="22"/>
      <c r="G395" s="22"/>
      <c r="H395" s="22"/>
      <c r="I395" s="22"/>
      <c r="J395" s="22"/>
      <c r="K395" s="22"/>
      <c r="L395" s="22"/>
      <c r="M395" s="22"/>
      <c r="O395" s="3"/>
      <c r="V395" s="3"/>
      <c r="W395" s="3"/>
      <c r="X395" s="3"/>
      <c r="Y395" s="3"/>
      <c r="Z395" s="3"/>
    </row>
    <row r="396" spans="1:26" ht="12.75">
      <c r="A396" s="3"/>
      <c r="D396" s="22"/>
      <c r="E396" s="22"/>
      <c r="F396" s="22"/>
      <c r="G396" s="22"/>
      <c r="H396" s="22"/>
      <c r="I396" s="22"/>
      <c r="J396" s="22"/>
      <c r="K396" s="22"/>
      <c r="L396" s="22"/>
      <c r="M396" s="22"/>
      <c r="O396" s="3"/>
      <c r="V396" s="3"/>
      <c r="W396" s="3"/>
      <c r="X396" s="3"/>
      <c r="Y396" s="3"/>
      <c r="Z396" s="3"/>
    </row>
    <row r="397" spans="1:26" ht="12.75">
      <c r="A397" s="3"/>
      <c r="D397" s="22"/>
      <c r="E397" s="22"/>
      <c r="F397" s="22"/>
      <c r="G397" s="22"/>
      <c r="H397" s="22"/>
      <c r="I397" s="22"/>
      <c r="J397" s="22"/>
      <c r="K397" s="22"/>
      <c r="L397" s="22"/>
      <c r="M397" s="22"/>
      <c r="O397" s="3"/>
      <c r="V397" s="3"/>
      <c r="W397" s="3"/>
      <c r="X397" s="3"/>
      <c r="Y397" s="3"/>
      <c r="Z397" s="3"/>
    </row>
    <row r="398" spans="1:26" ht="12.75">
      <c r="A398" s="3"/>
      <c r="D398" s="22"/>
      <c r="E398" s="22"/>
      <c r="F398" s="22"/>
      <c r="G398" s="22"/>
      <c r="H398" s="22"/>
      <c r="I398" s="22"/>
      <c r="J398" s="22"/>
      <c r="K398" s="22"/>
      <c r="L398" s="22"/>
      <c r="M398" s="22"/>
      <c r="O398" s="3"/>
      <c r="V398" s="3"/>
      <c r="W398" s="3"/>
      <c r="X398" s="3"/>
      <c r="Y398" s="3"/>
      <c r="Z398" s="3"/>
    </row>
    <row r="399" spans="1:26" ht="12.75">
      <c r="A399" s="3"/>
      <c r="D399" s="22"/>
      <c r="E399" s="22"/>
      <c r="F399" s="22"/>
      <c r="G399" s="22"/>
      <c r="H399" s="22"/>
      <c r="I399" s="22"/>
      <c r="J399" s="22"/>
      <c r="K399" s="22"/>
      <c r="L399" s="22"/>
      <c r="M399" s="22"/>
      <c r="O399" s="3"/>
      <c r="V399" s="3"/>
      <c r="W399" s="3"/>
      <c r="X399" s="3"/>
      <c r="Y399" s="3"/>
      <c r="Z399" s="3"/>
    </row>
    <row r="400" spans="1:26" ht="12.75">
      <c r="A400" s="3"/>
      <c r="D400" s="22"/>
      <c r="E400" s="22"/>
      <c r="F400" s="22"/>
      <c r="G400" s="22"/>
      <c r="H400" s="22"/>
      <c r="I400" s="22"/>
      <c r="J400" s="22"/>
      <c r="K400" s="22"/>
      <c r="L400" s="22"/>
      <c r="M400" s="22"/>
      <c r="O400" s="3"/>
      <c r="V400" s="3"/>
      <c r="W400" s="3"/>
      <c r="X400" s="3"/>
      <c r="Y400" s="3"/>
      <c r="Z400" s="3"/>
    </row>
    <row r="401" spans="1:26" ht="12.75">
      <c r="A401" s="3"/>
      <c r="D401" s="22"/>
      <c r="E401" s="22"/>
      <c r="F401" s="22"/>
      <c r="G401" s="22"/>
      <c r="H401" s="22"/>
      <c r="I401" s="22"/>
      <c r="J401" s="22"/>
      <c r="K401" s="22"/>
      <c r="L401" s="22"/>
      <c r="M401" s="22"/>
      <c r="O401" s="3"/>
      <c r="V401" s="3"/>
      <c r="W401" s="3"/>
      <c r="X401" s="3"/>
      <c r="Y401" s="3"/>
      <c r="Z401" s="3"/>
    </row>
    <row r="402" spans="1:26" ht="12.75">
      <c r="A402" s="3"/>
      <c r="D402" s="22"/>
      <c r="E402" s="22"/>
      <c r="F402" s="22"/>
      <c r="G402" s="22"/>
      <c r="H402" s="22"/>
      <c r="I402" s="22"/>
      <c r="J402" s="22"/>
      <c r="K402" s="22"/>
      <c r="L402" s="22"/>
      <c r="M402" s="22"/>
      <c r="O402" s="3"/>
      <c r="V402" s="3"/>
      <c r="W402" s="3"/>
      <c r="X402" s="3"/>
      <c r="Y402" s="3"/>
      <c r="Z402" s="3"/>
    </row>
    <row r="403" spans="1:26" ht="12.75">
      <c r="A403" s="3"/>
      <c r="D403" s="22"/>
      <c r="E403" s="22"/>
      <c r="F403" s="22"/>
      <c r="G403" s="22"/>
      <c r="H403" s="22"/>
      <c r="I403" s="22"/>
      <c r="J403" s="22"/>
      <c r="K403" s="22"/>
      <c r="L403" s="22"/>
      <c r="M403" s="22"/>
      <c r="O403" s="3"/>
      <c r="V403" s="3"/>
      <c r="W403" s="3"/>
      <c r="X403" s="3"/>
      <c r="Y403" s="3"/>
      <c r="Z403" s="3"/>
    </row>
    <row r="404" spans="1:26" ht="12.75">
      <c r="A404" s="3"/>
      <c r="D404" s="22"/>
      <c r="E404" s="22"/>
      <c r="F404" s="22"/>
      <c r="G404" s="22"/>
      <c r="H404" s="22"/>
      <c r="I404" s="22"/>
      <c r="J404" s="22"/>
      <c r="K404" s="22"/>
      <c r="L404" s="22"/>
      <c r="M404" s="22"/>
      <c r="O404" s="3"/>
      <c r="V404" s="3"/>
      <c r="W404" s="3"/>
      <c r="X404" s="3"/>
      <c r="Y404" s="3"/>
      <c r="Z404" s="3"/>
    </row>
    <row r="405" spans="1:26" ht="12.75">
      <c r="A405" s="3"/>
      <c r="D405" s="22"/>
      <c r="E405" s="22"/>
      <c r="F405" s="22"/>
      <c r="G405" s="22"/>
      <c r="H405" s="22"/>
      <c r="I405" s="22"/>
      <c r="J405" s="22"/>
      <c r="K405" s="22"/>
      <c r="L405" s="22"/>
      <c r="M405" s="22"/>
      <c r="O405" s="3"/>
      <c r="V405" s="3"/>
      <c r="W405" s="3"/>
      <c r="X405" s="3"/>
      <c r="Y405" s="3"/>
      <c r="Z405" s="3"/>
    </row>
    <row r="406" spans="1:26" ht="12.75">
      <c r="A406" s="3"/>
      <c r="D406" s="22"/>
      <c r="E406" s="22"/>
      <c r="F406" s="22"/>
      <c r="G406" s="22"/>
      <c r="H406" s="22"/>
      <c r="I406" s="22"/>
      <c r="J406" s="22"/>
      <c r="K406" s="22"/>
      <c r="L406" s="22"/>
      <c r="M406" s="22"/>
      <c r="O406" s="3"/>
      <c r="V406" s="3"/>
      <c r="W406" s="3"/>
      <c r="X406" s="3"/>
      <c r="Y406" s="3"/>
      <c r="Z406" s="3"/>
    </row>
    <row r="407" spans="1:26" ht="12.75">
      <c r="A407" s="3"/>
      <c r="D407" s="22"/>
      <c r="E407" s="22"/>
      <c r="F407" s="22"/>
      <c r="G407" s="22"/>
      <c r="H407" s="22"/>
      <c r="I407" s="22"/>
      <c r="J407" s="22"/>
      <c r="K407" s="22"/>
      <c r="L407" s="22"/>
      <c r="M407" s="22"/>
      <c r="O407" s="3"/>
      <c r="V407" s="3"/>
      <c r="W407" s="3"/>
      <c r="X407" s="3"/>
      <c r="Y407" s="3"/>
      <c r="Z407" s="3"/>
    </row>
    <row r="408" spans="1:26" ht="12.75">
      <c r="A408" s="3"/>
      <c r="D408" s="22"/>
      <c r="E408" s="22"/>
      <c r="F408" s="22"/>
      <c r="G408" s="22"/>
      <c r="H408" s="22"/>
      <c r="I408" s="22"/>
      <c r="J408" s="22"/>
      <c r="K408" s="22"/>
      <c r="L408" s="22"/>
      <c r="M408" s="22"/>
      <c r="O408" s="3"/>
      <c r="V408" s="3"/>
      <c r="W408" s="3"/>
      <c r="X408" s="3"/>
      <c r="Y408" s="3"/>
      <c r="Z408" s="3"/>
    </row>
    <row r="409" spans="1:26" ht="12.75">
      <c r="A409" s="3"/>
      <c r="D409" s="22"/>
      <c r="E409" s="22"/>
      <c r="F409" s="22"/>
      <c r="G409" s="22"/>
      <c r="H409" s="22"/>
      <c r="I409" s="22"/>
      <c r="J409" s="22"/>
      <c r="K409" s="22"/>
      <c r="L409" s="22"/>
      <c r="M409" s="22"/>
      <c r="O409" s="3"/>
      <c r="V409" s="3"/>
      <c r="W409" s="3"/>
      <c r="X409" s="3"/>
      <c r="Y409" s="3"/>
      <c r="Z409" s="3"/>
    </row>
    <row r="410" spans="1:26" ht="12.75">
      <c r="A410" s="3"/>
      <c r="D410" s="22"/>
      <c r="E410" s="22"/>
      <c r="F410" s="22"/>
      <c r="G410" s="22"/>
      <c r="H410" s="22"/>
      <c r="I410" s="22"/>
      <c r="J410" s="22"/>
      <c r="K410" s="22"/>
      <c r="L410" s="22"/>
      <c r="M410" s="22"/>
      <c r="O410" s="3"/>
      <c r="V410" s="3"/>
      <c r="W410" s="3"/>
      <c r="X410" s="3"/>
      <c r="Y410" s="3"/>
      <c r="Z410" s="3"/>
    </row>
    <row r="411" spans="1:26" ht="12.75">
      <c r="A411" s="3"/>
      <c r="D411" s="22"/>
      <c r="E411" s="22"/>
      <c r="F411" s="22"/>
      <c r="G411" s="22"/>
      <c r="H411" s="22"/>
      <c r="I411" s="22"/>
      <c r="J411" s="22"/>
      <c r="K411" s="22"/>
      <c r="L411" s="22"/>
      <c r="M411" s="22"/>
      <c r="O411" s="3"/>
      <c r="V411" s="3"/>
      <c r="W411" s="3"/>
      <c r="X411" s="3"/>
      <c r="Y411" s="3"/>
      <c r="Z411" s="3"/>
    </row>
    <row r="412" spans="1:26" ht="12.75">
      <c r="A412" s="3"/>
      <c r="D412" s="22"/>
      <c r="E412" s="22"/>
      <c r="F412" s="22"/>
      <c r="G412" s="22"/>
      <c r="H412" s="22"/>
      <c r="I412" s="22"/>
      <c r="J412" s="22"/>
      <c r="K412" s="22"/>
      <c r="L412" s="22"/>
      <c r="M412" s="22"/>
      <c r="O412" s="3"/>
      <c r="V412" s="3"/>
      <c r="W412" s="3"/>
      <c r="X412" s="3"/>
      <c r="Y412" s="3"/>
      <c r="Z412" s="3"/>
    </row>
    <row r="413" spans="1:26" ht="12.75">
      <c r="A413" s="3"/>
      <c r="D413" s="22"/>
      <c r="E413" s="22"/>
      <c r="F413" s="22"/>
      <c r="G413" s="22"/>
      <c r="H413" s="22"/>
      <c r="I413" s="22"/>
      <c r="J413" s="22"/>
      <c r="K413" s="22"/>
      <c r="L413" s="22"/>
      <c r="M413" s="22"/>
      <c r="O413" s="3"/>
      <c r="V413" s="3"/>
      <c r="W413" s="3"/>
      <c r="X413" s="3"/>
      <c r="Y413" s="3"/>
      <c r="Z413" s="3"/>
    </row>
    <row r="414" spans="1:26" ht="12.75">
      <c r="A414" s="3"/>
      <c r="D414" s="22"/>
      <c r="E414" s="22"/>
      <c r="F414" s="22"/>
      <c r="G414" s="22"/>
      <c r="H414" s="22"/>
      <c r="I414" s="22"/>
      <c r="J414" s="22"/>
      <c r="K414" s="22"/>
      <c r="L414" s="22"/>
      <c r="M414" s="22"/>
      <c r="O414" s="3"/>
      <c r="V414" s="3"/>
      <c r="W414" s="3"/>
      <c r="X414" s="3"/>
      <c r="Y414" s="3"/>
      <c r="Z414" s="3"/>
    </row>
    <row r="415" spans="1:26" ht="12.75">
      <c r="A415" s="3"/>
      <c r="D415" s="22"/>
      <c r="E415" s="22"/>
      <c r="F415" s="22"/>
      <c r="G415" s="22"/>
      <c r="H415" s="22"/>
      <c r="I415" s="22"/>
      <c r="J415" s="22"/>
      <c r="K415" s="22"/>
      <c r="L415" s="22"/>
      <c r="M415" s="22"/>
      <c r="O415" s="3"/>
      <c r="V415" s="3"/>
      <c r="W415" s="3"/>
      <c r="X415" s="3"/>
      <c r="Y415" s="3"/>
      <c r="Z415" s="3"/>
    </row>
    <row r="416" spans="1:26" ht="12.75">
      <c r="A416" s="3"/>
      <c r="D416" s="22"/>
      <c r="E416" s="22"/>
      <c r="F416" s="22"/>
      <c r="G416" s="22"/>
      <c r="H416" s="22"/>
      <c r="I416" s="22"/>
      <c r="J416" s="22"/>
      <c r="K416" s="22"/>
      <c r="L416" s="22"/>
      <c r="M416" s="22"/>
      <c r="O416" s="3"/>
      <c r="V416" s="3"/>
      <c r="W416" s="3"/>
      <c r="X416" s="3"/>
      <c r="Y416" s="3"/>
      <c r="Z416" s="3"/>
    </row>
    <row r="417" spans="1:26" ht="12.75">
      <c r="A417" s="3"/>
      <c r="D417" s="22"/>
      <c r="E417" s="22"/>
      <c r="F417" s="22"/>
      <c r="G417" s="22"/>
      <c r="H417" s="22"/>
      <c r="I417" s="22"/>
      <c r="J417" s="22"/>
      <c r="K417" s="22"/>
      <c r="L417" s="22"/>
      <c r="M417" s="22"/>
      <c r="O417" s="3"/>
      <c r="V417" s="3"/>
      <c r="W417" s="3"/>
      <c r="X417" s="3"/>
      <c r="Y417" s="3"/>
      <c r="Z417" s="3"/>
    </row>
    <row r="418" spans="1:26" ht="12.75">
      <c r="A418" s="3"/>
      <c r="D418" s="22"/>
      <c r="E418" s="22"/>
      <c r="F418" s="22"/>
      <c r="G418" s="22"/>
      <c r="H418" s="22"/>
      <c r="I418" s="22"/>
      <c r="J418" s="22"/>
      <c r="K418" s="22"/>
      <c r="L418" s="22"/>
      <c r="M418" s="22"/>
      <c r="O418" s="3"/>
      <c r="V418" s="3"/>
      <c r="W418" s="3"/>
      <c r="X418" s="3"/>
      <c r="Y418" s="3"/>
      <c r="Z418" s="3"/>
    </row>
    <row r="419" spans="1:26" ht="12.75">
      <c r="A419" s="3"/>
      <c r="D419" s="22"/>
      <c r="E419" s="22"/>
      <c r="F419" s="22"/>
      <c r="G419" s="22"/>
      <c r="H419" s="22"/>
      <c r="I419" s="22"/>
      <c r="J419" s="22"/>
      <c r="K419" s="22"/>
      <c r="L419" s="22"/>
      <c r="M419" s="22"/>
      <c r="O419" s="3"/>
      <c r="V419" s="3"/>
      <c r="W419" s="3"/>
      <c r="X419" s="3"/>
      <c r="Y419" s="3"/>
      <c r="Z419" s="3"/>
    </row>
    <row r="420" spans="1:26" ht="12.75">
      <c r="A420" s="3"/>
      <c r="D420" s="22"/>
      <c r="E420" s="22"/>
      <c r="F420" s="22"/>
      <c r="G420" s="22"/>
      <c r="H420" s="22"/>
      <c r="I420" s="22"/>
      <c r="J420" s="22"/>
      <c r="K420" s="22"/>
      <c r="L420" s="22"/>
      <c r="M420" s="22"/>
      <c r="O420" s="3"/>
      <c r="V420" s="3"/>
      <c r="W420" s="3"/>
      <c r="X420" s="3"/>
      <c r="Y420" s="3"/>
      <c r="Z420" s="3"/>
    </row>
    <row r="421" spans="1:26" ht="12.75">
      <c r="A421" s="3"/>
      <c r="D421" s="22"/>
      <c r="E421" s="22"/>
      <c r="F421" s="22"/>
      <c r="G421" s="22"/>
      <c r="H421" s="22"/>
      <c r="I421" s="22"/>
      <c r="J421" s="22"/>
      <c r="K421" s="22"/>
      <c r="L421" s="22"/>
      <c r="M421" s="22"/>
      <c r="O421" s="3"/>
      <c r="V421" s="3"/>
      <c r="W421" s="3"/>
      <c r="X421" s="3"/>
      <c r="Y421" s="3"/>
      <c r="Z421" s="3"/>
    </row>
    <row r="422" spans="1:26" ht="12.75">
      <c r="A422" s="3"/>
      <c r="D422" s="22"/>
      <c r="E422" s="22"/>
      <c r="F422" s="22"/>
      <c r="G422" s="22"/>
      <c r="H422" s="22"/>
      <c r="I422" s="22"/>
      <c r="J422" s="22"/>
      <c r="K422" s="22"/>
      <c r="L422" s="22"/>
      <c r="M422" s="22"/>
      <c r="O422" s="3"/>
      <c r="V422" s="3"/>
      <c r="W422" s="3"/>
      <c r="X422" s="3"/>
      <c r="Y422" s="3"/>
      <c r="Z422" s="3"/>
    </row>
    <row r="423" spans="1:26" ht="12.75">
      <c r="A423" s="3"/>
      <c r="D423" s="22"/>
      <c r="E423" s="22"/>
      <c r="F423" s="22"/>
      <c r="G423" s="22"/>
      <c r="H423" s="22"/>
      <c r="I423" s="22"/>
      <c r="J423" s="22"/>
      <c r="K423" s="22"/>
      <c r="L423" s="22"/>
      <c r="M423" s="22"/>
      <c r="O423" s="3"/>
      <c r="V423" s="3"/>
      <c r="W423" s="3"/>
      <c r="X423" s="3"/>
      <c r="Y423" s="3"/>
      <c r="Z423" s="3"/>
    </row>
    <row r="424" spans="1:26" ht="12.75">
      <c r="A424" s="3"/>
      <c r="D424" s="22"/>
      <c r="E424" s="22"/>
      <c r="F424" s="22"/>
      <c r="G424" s="22"/>
      <c r="H424" s="22"/>
      <c r="I424" s="22"/>
      <c r="J424" s="22"/>
      <c r="K424" s="22"/>
      <c r="L424" s="22"/>
      <c r="M424" s="22"/>
      <c r="O424" s="3"/>
      <c r="V424" s="3"/>
      <c r="W424" s="3"/>
      <c r="X424" s="3"/>
      <c r="Y424" s="3"/>
      <c r="Z424" s="3"/>
    </row>
    <row r="425" spans="1:26" ht="12.75">
      <c r="A425" s="3"/>
      <c r="D425" s="22"/>
      <c r="E425" s="22"/>
      <c r="F425" s="22"/>
      <c r="G425" s="22"/>
      <c r="H425" s="22"/>
      <c r="I425" s="22"/>
      <c r="J425" s="22"/>
      <c r="K425" s="22"/>
      <c r="L425" s="22"/>
      <c r="M425" s="22"/>
      <c r="O425" s="3"/>
      <c r="V425" s="3"/>
      <c r="W425" s="3"/>
      <c r="X425" s="3"/>
      <c r="Y425" s="3"/>
      <c r="Z425" s="3"/>
    </row>
    <row r="426" spans="1:26" ht="12.75">
      <c r="A426" s="3"/>
      <c r="D426" s="22"/>
      <c r="E426" s="22"/>
      <c r="F426" s="22"/>
      <c r="G426" s="22"/>
      <c r="H426" s="22"/>
      <c r="I426" s="22"/>
      <c r="J426" s="22"/>
      <c r="K426" s="22"/>
      <c r="L426" s="22"/>
      <c r="M426" s="22"/>
      <c r="O426" s="3"/>
      <c r="V426" s="3"/>
      <c r="W426" s="3"/>
      <c r="X426" s="3"/>
      <c r="Y426" s="3"/>
      <c r="Z426" s="3"/>
    </row>
    <row r="427" spans="1:26" ht="12.75">
      <c r="A427" s="3"/>
      <c r="D427" s="22"/>
      <c r="E427" s="22"/>
      <c r="F427" s="22"/>
      <c r="G427" s="22"/>
      <c r="H427" s="22"/>
      <c r="I427" s="22"/>
      <c r="J427" s="22"/>
      <c r="K427" s="22"/>
      <c r="L427" s="22"/>
      <c r="M427" s="22"/>
      <c r="O427" s="3"/>
      <c r="V427" s="3"/>
      <c r="W427" s="3"/>
      <c r="X427" s="3"/>
      <c r="Y427" s="3"/>
      <c r="Z427" s="3"/>
    </row>
    <row r="428" spans="1:26" ht="12.75">
      <c r="A428" s="3"/>
      <c r="D428" s="22"/>
      <c r="E428" s="22"/>
      <c r="F428" s="22"/>
      <c r="G428" s="22"/>
      <c r="H428" s="22"/>
      <c r="I428" s="22"/>
      <c r="J428" s="22"/>
      <c r="K428" s="22"/>
      <c r="L428" s="22"/>
      <c r="M428" s="22"/>
      <c r="O428" s="3"/>
      <c r="V428" s="3"/>
      <c r="W428" s="3"/>
      <c r="X428" s="3"/>
      <c r="Y428" s="3"/>
      <c r="Z428" s="3"/>
    </row>
    <row r="429" spans="1:26" ht="12.75">
      <c r="A429" s="3"/>
      <c r="D429" s="22"/>
      <c r="E429" s="22"/>
      <c r="F429" s="22"/>
      <c r="G429" s="22"/>
      <c r="H429" s="22"/>
      <c r="I429" s="22"/>
      <c r="J429" s="22"/>
      <c r="K429" s="22"/>
      <c r="L429" s="22"/>
      <c r="M429" s="22"/>
      <c r="O429" s="3"/>
      <c r="V429" s="3"/>
      <c r="W429" s="3"/>
      <c r="X429" s="3"/>
      <c r="Y429" s="3"/>
      <c r="Z429" s="3"/>
    </row>
    <row r="430" spans="1:26" ht="12.75">
      <c r="A430" s="3"/>
      <c r="D430" s="22"/>
      <c r="E430" s="22"/>
      <c r="F430" s="22"/>
      <c r="G430" s="22"/>
      <c r="H430" s="22"/>
      <c r="I430" s="22"/>
      <c r="J430" s="22"/>
      <c r="K430" s="22"/>
      <c r="L430" s="22"/>
      <c r="M430" s="22"/>
      <c r="O430" s="3"/>
      <c r="V430" s="3"/>
      <c r="W430" s="3"/>
      <c r="X430" s="3"/>
      <c r="Y430" s="3"/>
      <c r="Z430" s="3"/>
    </row>
    <row r="431" spans="1:26" ht="12.75">
      <c r="A431" s="3"/>
      <c r="D431" s="22"/>
      <c r="E431" s="22"/>
      <c r="F431" s="22"/>
      <c r="G431" s="22"/>
      <c r="H431" s="22"/>
      <c r="I431" s="22"/>
      <c r="J431" s="22"/>
      <c r="K431" s="22"/>
      <c r="L431" s="22"/>
      <c r="M431" s="22"/>
      <c r="O431" s="3"/>
      <c r="V431" s="3"/>
      <c r="W431" s="3"/>
      <c r="X431" s="3"/>
      <c r="Y431" s="3"/>
      <c r="Z431" s="3"/>
    </row>
    <row r="432" spans="1:26" ht="12.75">
      <c r="A432" s="3"/>
      <c r="D432" s="22"/>
      <c r="E432" s="22"/>
      <c r="F432" s="22"/>
      <c r="G432" s="22"/>
      <c r="H432" s="22"/>
      <c r="I432" s="22"/>
      <c r="J432" s="22"/>
      <c r="K432" s="22"/>
      <c r="L432" s="22"/>
      <c r="M432" s="22"/>
      <c r="O432" s="3"/>
      <c r="V432" s="3"/>
      <c r="W432" s="3"/>
      <c r="X432" s="3"/>
      <c r="Y432" s="3"/>
      <c r="Z432" s="3"/>
    </row>
    <row r="433" spans="1:26" ht="12.75">
      <c r="A433" s="3"/>
      <c r="D433" s="22"/>
      <c r="E433" s="22"/>
      <c r="F433" s="22"/>
      <c r="G433" s="22"/>
      <c r="H433" s="22"/>
      <c r="I433" s="22"/>
      <c r="J433" s="22"/>
      <c r="K433" s="22"/>
      <c r="L433" s="22"/>
      <c r="M433" s="22"/>
      <c r="O433" s="3"/>
      <c r="V433" s="3"/>
      <c r="W433" s="3"/>
      <c r="X433" s="3"/>
      <c r="Y433" s="3"/>
      <c r="Z433" s="3"/>
    </row>
    <row r="434" spans="1:26" ht="12.75">
      <c r="A434" s="3"/>
      <c r="D434" s="22"/>
      <c r="E434" s="22"/>
      <c r="F434" s="22"/>
      <c r="G434" s="22"/>
      <c r="H434" s="22"/>
      <c r="I434" s="22"/>
      <c r="J434" s="22"/>
      <c r="K434" s="22"/>
      <c r="L434" s="22"/>
      <c r="M434" s="22"/>
      <c r="O434" s="3"/>
      <c r="V434" s="3"/>
      <c r="W434" s="3"/>
      <c r="X434" s="3"/>
      <c r="Y434" s="3"/>
      <c r="Z434" s="3"/>
    </row>
    <row r="435" spans="1:26" ht="12.75">
      <c r="A435" s="3"/>
      <c r="D435" s="22"/>
      <c r="E435" s="22"/>
      <c r="F435" s="22"/>
      <c r="G435" s="22"/>
      <c r="H435" s="22"/>
      <c r="I435" s="22"/>
      <c r="J435" s="22"/>
      <c r="K435" s="22"/>
      <c r="L435" s="22"/>
      <c r="M435" s="22"/>
      <c r="O435" s="3"/>
      <c r="V435" s="3"/>
      <c r="W435" s="3"/>
      <c r="X435" s="3"/>
      <c r="Y435" s="3"/>
      <c r="Z435" s="3"/>
    </row>
    <row r="436" spans="1:26" ht="12.75">
      <c r="A436" s="3"/>
      <c r="D436" s="22"/>
      <c r="E436" s="22"/>
      <c r="F436" s="22"/>
      <c r="G436" s="22"/>
      <c r="H436" s="22"/>
      <c r="I436" s="22"/>
      <c r="J436" s="22"/>
      <c r="K436" s="22"/>
      <c r="L436" s="22"/>
      <c r="M436" s="22"/>
      <c r="O436" s="3"/>
      <c r="V436" s="3"/>
      <c r="W436" s="3"/>
      <c r="X436" s="3"/>
      <c r="Y436" s="3"/>
      <c r="Z436" s="3"/>
    </row>
    <row r="437" spans="1:26" ht="12.75">
      <c r="A437" s="3"/>
      <c r="D437" s="22"/>
      <c r="E437" s="22"/>
      <c r="F437" s="22"/>
      <c r="G437" s="22"/>
      <c r="H437" s="22"/>
      <c r="I437" s="22"/>
      <c r="J437" s="22"/>
      <c r="K437" s="22"/>
      <c r="L437" s="22"/>
      <c r="M437" s="22"/>
      <c r="O437" s="3"/>
      <c r="V437" s="3"/>
      <c r="W437" s="3"/>
      <c r="X437" s="3"/>
      <c r="Y437" s="3"/>
      <c r="Z437" s="3"/>
    </row>
    <row r="438" spans="1:26" ht="12.75">
      <c r="A438" s="3"/>
      <c r="D438" s="22"/>
      <c r="E438" s="22"/>
      <c r="F438" s="22"/>
      <c r="G438" s="22"/>
      <c r="H438" s="22"/>
      <c r="I438" s="22"/>
      <c r="J438" s="22"/>
      <c r="K438" s="22"/>
      <c r="L438" s="22"/>
      <c r="M438" s="22"/>
      <c r="O438" s="3"/>
      <c r="V438" s="3"/>
      <c r="W438" s="3"/>
      <c r="X438" s="3"/>
      <c r="Y438" s="3"/>
      <c r="Z438" s="3"/>
    </row>
    <row r="439" spans="1:26" ht="12.75">
      <c r="A439" s="3"/>
      <c r="D439" s="22"/>
      <c r="E439" s="22"/>
      <c r="F439" s="22"/>
      <c r="G439" s="22"/>
      <c r="H439" s="22"/>
      <c r="I439" s="22"/>
      <c r="J439" s="22"/>
      <c r="K439" s="22"/>
      <c r="L439" s="22"/>
      <c r="M439" s="22"/>
      <c r="O439" s="3"/>
      <c r="V439" s="3"/>
      <c r="W439" s="3"/>
      <c r="X439" s="3"/>
      <c r="Y439" s="3"/>
      <c r="Z439" s="3"/>
    </row>
    <row r="440" spans="1:26" ht="12.75">
      <c r="A440" s="3"/>
      <c r="D440" s="22"/>
      <c r="E440" s="22"/>
      <c r="F440" s="22"/>
      <c r="G440" s="22"/>
      <c r="H440" s="22"/>
      <c r="I440" s="22"/>
      <c r="J440" s="22"/>
      <c r="K440" s="22"/>
      <c r="L440" s="22"/>
      <c r="M440" s="22"/>
      <c r="O440" s="3"/>
      <c r="V440" s="3"/>
      <c r="W440" s="3"/>
      <c r="X440" s="3"/>
      <c r="Y440" s="3"/>
      <c r="Z440" s="3"/>
    </row>
    <row r="441" spans="1:26" ht="12.75">
      <c r="A441" s="3"/>
      <c r="D441" s="22"/>
      <c r="E441" s="22"/>
      <c r="F441" s="22"/>
      <c r="G441" s="22"/>
      <c r="H441" s="22"/>
      <c r="I441" s="22"/>
      <c r="J441" s="22"/>
      <c r="K441" s="22"/>
      <c r="L441" s="22"/>
      <c r="M441" s="22"/>
      <c r="O441" s="3"/>
      <c r="V441" s="3"/>
      <c r="W441" s="3"/>
      <c r="X441" s="3"/>
      <c r="Y441" s="3"/>
      <c r="Z441" s="3"/>
    </row>
    <row r="442" spans="1:26" ht="12.75">
      <c r="A442" s="3"/>
      <c r="D442" s="22"/>
      <c r="E442" s="22"/>
      <c r="F442" s="22"/>
      <c r="G442" s="22"/>
      <c r="H442" s="22"/>
      <c r="I442" s="22"/>
      <c r="J442" s="22"/>
      <c r="K442" s="22"/>
      <c r="L442" s="22"/>
      <c r="M442" s="22"/>
      <c r="O442" s="3"/>
      <c r="V442" s="3"/>
      <c r="W442" s="3"/>
      <c r="X442" s="3"/>
      <c r="Y442" s="3"/>
      <c r="Z442" s="3"/>
    </row>
    <row r="443" spans="1:26" ht="12.75">
      <c r="A443" s="3"/>
      <c r="D443" s="22"/>
      <c r="E443" s="22"/>
      <c r="F443" s="22"/>
      <c r="G443" s="22"/>
      <c r="H443" s="22"/>
      <c r="I443" s="22"/>
      <c r="J443" s="22"/>
      <c r="K443" s="22"/>
      <c r="L443" s="22"/>
      <c r="M443" s="22"/>
      <c r="O443" s="3"/>
      <c r="V443" s="3"/>
      <c r="W443" s="3"/>
      <c r="X443" s="3"/>
      <c r="Y443" s="3"/>
      <c r="Z443" s="3"/>
    </row>
    <row r="444" spans="1:26" ht="12.75">
      <c r="A444" s="3"/>
      <c r="D444" s="22"/>
      <c r="E444" s="22"/>
      <c r="F444" s="22"/>
      <c r="G444" s="22"/>
      <c r="H444" s="22"/>
      <c r="I444" s="22"/>
      <c r="J444" s="22"/>
      <c r="K444" s="22"/>
      <c r="L444" s="22"/>
      <c r="M444" s="22"/>
      <c r="O444" s="3"/>
      <c r="V444" s="3"/>
      <c r="W444" s="3"/>
      <c r="X444" s="3"/>
      <c r="Y444" s="3"/>
      <c r="Z444" s="3"/>
    </row>
    <row r="445" spans="1:26" ht="12.75">
      <c r="A445" s="3"/>
      <c r="D445" s="22"/>
      <c r="E445" s="22"/>
      <c r="F445" s="22"/>
      <c r="G445" s="22"/>
      <c r="H445" s="22"/>
      <c r="I445" s="22"/>
      <c r="J445" s="22"/>
      <c r="K445" s="22"/>
      <c r="L445" s="22"/>
      <c r="M445" s="22"/>
      <c r="O445" s="3"/>
      <c r="V445" s="3"/>
      <c r="W445" s="3"/>
      <c r="X445" s="3"/>
      <c r="Y445" s="3"/>
      <c r="Z445" s="3"/>
    </row>
    <row r="446" spans="1:26" ht="12.75">
      <c r="A446" s="3"/>
      <c r="D446" s="22"/>
      <c r="E446" s="22"/>
      <c r="F446" s="22"/>
      <c r="G446" s="22"/>
      <c r="H446" s="22"/>
      <c r="I446" s="22"/>
      <c r="J446" s="22"/>
      <c r="K446" s="22"/>
      <c r="L446" s="22"/>
      <c r="M446" s="22"/>
      <c r="O446" s="3"/>
      <c r="V446" s="3"/>
      <c r="W446" s="3"/>
      <c r="X446" s="3"/>
      <c r="Y446" s="3"/>
      <c r="Z446" s="3"/>
    </row>
    <row r="447" spans="1:26" ht="12.75">
      <c r="A447" s="3"/>
      <c r="D447" s="22"/>
      <c r="E447" s="22"/>
      <c r="F447" s="22"/>
      <c r="G447" s="22"/>
      <c r="H447" s="22"/>
      <c r="I447" s="22"/>
      <c r="J447" s="22"/>
      <c r="K447" s="22"/>
      <c r="L447" s="22"/>
      <c r="M447" s="22"/>
      <c r="O447" s="3"/>
      <c r="V447" s="3"/>
      <c r="W447" s="3"/>
      <c r="X447" s="3"/>
      <c r="Y447" s="3"/>
      <c r="Z447" s="3"/>
    </row>
    <row r="448" spans="1:26" ht="12.75">
      <c r="A448" s="3"/>
      <c r="D448" s="22"/>
      <c r="E448" s="22"/>
      <c r="F448" s="22"/>
      <c r="G448" s="22"/>
      <c r="H448" s="22"/>
      <c r="I448" s="22"/>
      <c r="J448" s="22"/>
      <c r="K448" s="22"/>
      <c r="L448" s="22"/>
      <c r="M448" s="22"/>
      <c r="O448" s="3"/>
      <c r="V448" s="3"/>
      <c r="W448" s="3"/>
      <c r="X448" s="3"/>
      <c r="Y448" s="3"/>
      <c r="Z448" s="3"/>
    </row>
    <row r="449" spans="1:26" ht="12.75">
      <c r="A449" s="3"/>
      <c r="D449" s="22"/>
      <c r="E449" s="22"/>
      <c r="F449" s="22"/>
      <c r="G449" s="22"/>
      <c r="H449" s="22"/>
      <c r="I449" s="22"/>
      <c r="J449" s="22"/>
      <c r="K449" s="22"/>
      <c r="L449" s="22"/>
      <c r="M449" s="22"/>
      <c r="O449" s="3"/>
      <c r="V449" s="3"/>
      <c r="W449" s="3"/>
      <c r="X449" s="3"/>
      <c r="Y449" s="3"/>
      <c r="Z449" s="3"/>
    </row>
    <row r="450" spans="1:26" ht="12.75">
      <c r="A450" s="3"/>
      <c r="D450" s="22"/>
      <c r="E450" s="22"/>
      <c r="F450" s="22"/>
      <c r="G450" s="22"/>
      <c r="H450" s="22"/>
      <c r="I450" s="22"/>
      <c r="J450" s="22"/>
      <c r="K450" s="22"/>
      <c r="L450" s="22"/>
      <c r="M450" s="22"/>
      <c r="O450" s="3"/>
      <c r="V450" s="3"/>
      <c r="W450" s="3"/>
      <c r="X450" s="3"/>
      <c r="Y450" s="3"/>
      <c r="Z450" s="3"/>
    </row>
    <row r="451" spans="1:26" ht="12.75">
      <c r="A451" s="3"/>
      <c r="D451" s="22"/>
      <c r="E451" s="22"/>
      <c r="F451" s="22"/>
      <c r="G451" s="22"/>
      <c r="H451" s="22"/>
      <c r="I451" s="22"/>
      <c r="J451" s="22"/>
      <c r="K451" s="22"/>
      <c r="L451" s="22"/>
      <c r="M451" s="22"/>
      <c r="O451" s="3"/>
      <c r="V451" s="3"/>
      <c r="W451" s="3"/>
      <c r="X451" s="3"/>
      <c r="Y451" s="3"/>
      <c r="Z451" s="3"/>
    </row>
    <row r="452" spans="1:26" ht="12.75">
      <c r="A452" s="3"/>
      <c r="D452" s="22"/>
      <c r="E452" s="22"/>
      <c r="F452" s="22"/>
      <c r="G452" s="22"/>
      <c r="H452" s="22"/>
      <c r="I452" s="22"/>
      <c r="J452" s="22"/>
      <c r="K452" s="22"/>
      <c r="L452" s="22"/>
      <c r="M452" s="22"/>
      <c r="O452" s="3"/>
      <c r="V452" s="3"/>
      <c r="W452" s="3"/>
      <c r="X452" s="3"/>
      <c r="Y452" s="3"/>
      <c r="Z452" s="3"/>
    </row>
    <row r="453" spans="1:26" ht="12.75">
      <c r="A453" s="3"/>
      <c r="D453" s="22"/>
      <c r="E453" s="22"/>
      <c r="F453" s="22"/>
      <c r="G453" s="22"/>
      <c r="H453" s="22"/>
      <c r="I453" s="22"/>
      <c r="J453" s="22"/>
      <c r="K453" s="22"/>
      <c r="L453" s="22"/>
      <c r="M453" s="22"/>
      <c r="O453" s="3"/>
      <c r="V453" s="3"/>
      <c r="W453" s="3"/>
      <c r="X453" s="3"/>
      <c r="Y453" s="3"/>
      <c r="Z453" s="3"/>
    </row>
    <row r="454" spans="1:26" ht="12.75">
      <c r="A454" s="3"/>
      <c r="D454" s="22"/>
      <c r="E454" s="22"/>
      <c r="F454" s="22"/>
      <c r="G454" s="22"/>
      <c r="H454" s="22"/>
      <c r="I454" s="22"/>
      <c r="J454" s="22"/>
      <c r="K454" s="22"/>
      <c r="L454" s="22"/>
      <c r="M454" s="22"/>
      <c r="O454" s="3"/>
      <c r="V454" s="3"/>
      <c r="W454" s="3"/>
      <c r="X454" s="3"/>
      <c r="Y454" s="3"/>
      <c r="Z454" s="3"/>
    </row>
    <row r="455" spans="1:26" ht="12.75">
      <c r="A455" s="3"/>
      <c r="D455" s="22"/>
      <c r="E455" s="22"/>
      <c r="F455" s="22"/>
      <c r="G455" s="22"/>
      <c r="H455" s="22"/>
      <c r="I455" s="22"/>
      <c r="J455" s="22"/>
      <c r="K455" s="22"/>
      <c r="L455" s="22"/>
      <c r="M455" s="22"/>
      <c r="O455" s="3"/>
      <c r="V455" s="3"/>
      <c r="W455" s="3"/>
      <c r="X455" s="3"/>
      <c r="Y455" s="3"/>
      <c r="Z455" s="3"/>
    </row>
    <row r="456" spans="1:26" ht="12.75">
      <c r="A456" s="3"/>
      <c r="D456" s="22"/>
      <c r="E456" s="22"/>
      <c r="F456" s="22"/>
      <c r="G456" s="22"/>
      <c r="H456" s="22"/>
      <c r="I456" s="22"/>
      <c r="J456" s="22"/>
      <c r="K456" s="22"/>
      <c r="L456" s="22"/>
      <c r="M456" s="22"/>
      <c r="O456" s="3"/>
      <c r="V456" s="3"/>
      <c r="W456" s="3"/>
      <c r="X456" s="3"/>
      <c r="Y456" s="3"/>
      <c r="Z456" s="3"/>
    </row>
    <row r="457" spans="1:26" ht="12.75">
      <c r="A457" s="3"/>
      <c r="D457" s="22"/>
      <c r="E457" s="22"/>
      <c r="F457" s="22"/>
      <c r="G457" s="22"/>
      <c r="H457" s="22"/>
      <c r="I457" s="22"/>
      <c r="J457" s="22"/>
      <c r="K457" s="22"/>
      <c r="L457" s="22"/>
      <c r="M457" s="22"/>
      <c r="O457" s="3"/>
      <c r="V457" s="3"/>
      <c r="W457" s="3"/>
      <c r="X457" s="3"/>
      <c r="Y457" s="3"/>
      <c r="Z457" s="3"/>
    </row>
    <row r="458" spans="1:26" ht="12.75">
      <c r="A458" s="3"/>
      <c r="D458" s="22"/>
      <c r="E458" s="22"/>
      <c r="F458" s="22"/>
      <c r="G458" s="22"/>
      <c r="H458" s="22"/>
      <c r="I458" s="22"/>
      <c r="J458" s="22"/>
      <c r="K458" s="22"/>
      <c r="L458" s="22"/>
      <c r="M458" s="22"/>
      <c r="O458" s="3"/>
      <c r="V458" s="3"/>
      <c r="W458" s="3"/>
      <c r="X458" s="3"/>
      <c r="Y458" s="3"/>
      <c r="Z458" s="3"/>
    </row>
    <row r="459" spans="1:26" ht="12.75">
      <c r="A459" s="3"/>
      <c r="D459" s="22"/>
      <c r="E459" s="22"/>
      <c r="F459" s="22"/>
      <c r="G459" s="22"/>
      <c r="H459" s="22"/>
      <c r="I459" s="22"/>
      <c r="J459" s="22"/>
      <c r="K459" s="22"/>
      <c r="L459" s="22"/>
      <c r="M459" s="22"/>
      <c r="O459" s="3"/>
      <c r="V459" s="3"/>
      <c r="W459" s="3"/>
      <c r="X459" s="3"/>
      <c r="Y459" s="3"/>
      <c r="Z459" s="3"/>
    </row>
    <row r="460" spans="1:26" ht="12.75">
      <c r="A460" s="3"/>
      <c r="D460" s="22"/>
      <c r="E460" s="22"/>
      <c r="F460" s="22"/>
      <c r="G460" s="22"/>
      <c r="H460" s="22"/>
      <c r="I460" s="22"/>
      <c r="J460" s="22"/>
      <c r="K460" s="22"/>
      <c r="L460" s="22"/>
      <c r="M460" s="22"/>
      <c r="O460" s="3"/>
      <c r="V460" s="3"/>
      <c r="W460" s="3"/>
      <c r="X460" s="3"/>
      <c r="Y460" s="3"/>
      <c r="Z460" s="3"/>
    </row>
    <row r="461" spans="1:26" ht="12.75">
      <c r="A461" s="3"/>
      <c r="D461" s="22"/>
      <c r="E461" s="22"/>
      <c r="F461" s="22"/>
      <c r="G461" s="22"/>
      <c r="H461" s="22"/>
      <c r="I461" s="22"/>
      <c r="J461" s="22"/>
      <c r="K461" s="22"/>
      <c r="L461" s="22"/>
      <c r="M461" s="22"/>
      <c r="O461" s="3"/>
      <c r="V461" s="3"/>
      <c r="W461" s="3"/>
      <c r="X461" s="3"/>
      <c r="Y461" s="3"/>
      <c r="Z461" s="3"/>
    </row>
    <row r="462" spans="1:26" ht="12.75">
      <c r="A462" s="3"/>
      <c r="D462" s="22"/>
      <c r="E462" s="22"/>
      <c r="F462" s="22"/>
      <c r="G462" s="22"/>
      <c r="H462" s="22"/>
      <c r="I462" s="22"/>
      <c r="J462" s="22"/>
      <c r="K462" s="22"/>
      <c r="L462" s="22"/>
      <c r="M462" s="22"/>
      <c r="O462" s="3"/>
      <c r="V462" s="3"/>
      <c r="W462" s="3"/>
      <c r="X462" s="3"/>
      <c r="Y462" s="3"/>
      <c r="Z462" s="3"/>
    </row>
    <row r="463" spans="1:26" ht="12.75">
      <c r="A463" s="3"/>
      <c r="D463" s="22"/>
      <c r="E463" s="22"/>
      <c r="F463" s="22"/>
      <c r="G463" s="22"/>
      <c r="H463" s="22"/>
      <c r="I463" s="22"/>
      <c r="J463" s="22"/>
      <c r="K463" s="22"/>
      <c r="L463" s="22"/>
      <c r="M463" s="22"/>
      <c r="O463" s="3"/>
      <c r="V463" s="3"/>
      <c r="W463" s="3"/>
      <c r="X463" s="3"/>
      <c r="Y463" s="3"/>
      <c r="Z463" s="3"/>
    </row>
    <row r="464" spans="1:26" ht="12.75">
      <c r="A464" s="3"/>
      <c r="D464" s="22"/>
      <c r="E464" s="22"/>
      <c r="F464" s="22"/>
      <c r="G464" s="22"/>
      <c r="H464" s="22"/>
      <c r="I464" s="22"/>
      <c r="J464" s="22"/>
      <c r="K464" s="22"/>
      <c r="L464" s="22"/>
      <c r="M464" s="22"/>
      <c r="O464" s="3"/>
      <c r="V464" s="3"/>
      <c r="W464" s="3"/>
      <c r="X464" s="3"/>
      <c r="Y464" s="3"/>
      <c r="Z464" s="3"/>
    </row>
    <row r="465" spans="1:26" ht="12.75">
      <c r="A465" s="3"/>
      <c r="D465" s="22"/>
      <c r="E465" s="22"/>
      <c r="F465" s="22"/>
      <c r="G465" s="22"/>
      <c r="H465" s="22"/>
      <c r="I465" s="22"/>
      <c r="J465" s="22"/>
      <c r="K465" s="22"/>
      <c r="L465" s="22"/>
      <c r="M465" s="22"/>
      <c r="O465" s="3"/>
      <c r="V465" s="3"/>
      <c r="W465" s="3"/>
      <c r="X465" s="3"/>
      <c r="Y465" s="3"/>
      <c r="Z465" s="3"/>
    </row>
    <row r="466" spans="1:26" ht="12.75">
      <c r="A466" s="3"/>
      <c r="D466" s="22"/>
      <c r="E466" s="22"/>
      <c r="F466" s="22"/>
      <c r="G466" s="22"/>
      <c r="H466" s="22"/>
      <c r="I466" s="22"/>
      <c r="J466" s="22"/>
      <c r="K466" s="22"/>
      <c r="L466" s="22"/>
      <c r="M466" s="22"/>
      <c r="O466" s="3"/>
      <c r="V466" s="3"/>
      <c r="W466" s="3"/>
      <c r="X466" s="3"/>
      <c r="Y466" s="3"/>
      <c r="Z466" s="3"/>
    </row>
    <row r="467" spans="1:26" ht="12.75">
      <c r="A467" s="3"/>
      <c r="D467" s="22"/>
      <c r="E467" s="22"/>
      <c r="F467" s="22"/>
      <c r="G467" s="22"/>
      <c r="H467" s="22"/>
      <c r="I467" s="22"/>
      <c r="J467" s="22"/>
      <c r="K467" s="22"/>
      <c r="L467" s="22"/>
      <c r="M467" s="22"/>
      <c r="O467" s="3"/>
      <c r="V467" s="3"/>
      <c r="W467" s="3"/>
      <c r="X467" s="3"/>
      <c r="Y467" s="3"/>
      <c r="Z467" s="3"/>
    </row>
    <row r="468" spans="1:26" ht="12.75">
      <c r="A468" s="3"/>
      <c r="D468" s="22"/>
      <c r="E468" s="22"/>
      <c r="F468" s="22"/>
      <c r="G468" s="22"/>
      <c r="H468" s="22"/>
      <c r="I468" s="22"/>
      <c r="J468" s="22"/>
      <c r="K468" s="22"/>
      <c r="L468" s="22"/>
      <c r="M468" s="22"/>
      <c r="O468" s="3"/>
      <c r="V468" s="3"/>
      <c r="W468" s="3"/>
      <c r="X468" s="3"/>
      <c r="Y468" s="3"/>
      <c r="Z468" s="3"/>
    </row>
    <row r="469" spans="1:26" ht="12.75">
      <c r="A469" s="3"/>
      <c r="D469" s="22"/>
      <c r="E469" s="22"/>
      <c r="F469" s="22"/>
      <c r="G469" s="22"/>
      <c r="H469" s="22"/>
      <c r="I469" s="22"/>
      <c r="J469" s="22"/>
      <c r="K469" s="22"/>
      <c r="L469" s="22"/>
      <c r="M469" s="22"/>
      <c r="O469" s="3"/>
      <c r="V469" s="3"/>
      <c r="W469" s="3"/>
      <c r="X469" s="3"/>
      <c r="Y469" s="3"/>
      <c r="Z469" s="3"/>
    </row>
    <row r="470" spans="1:26" ht="12.75">
      <c r="A470" s="3"/>
      <c r="D470" s="22"/>
      <c r="E470" s="22"/>
      <c r="F470" s="22"/>
      <c r="G470" s="22"/>
      <c r="H470" s="22"/>
      <c r="I470" s="22"/>
      <c r="J470" s="22"/>
      <c r="K470" s="22"/>
      <c r="L470" s="22"/>
      <c r="M470" s="22"/>
      <c r="O470" s="3"/>
      <c r="V470" s="3"/>
      <c r="W470" s="3"/>
      <c r="X470" s="3"/>
      <c r="Y470" s="3"/>
      <c r="Z470" s="3"/>
    </row>
    <row r="471" spans="1:26" ht="12.75">
      <c r="A471" s="3"/>
      <c r="D471" s="22"/>
      <c r="E471" s="22"/>
      <c r="F471" s="22"/>
      <c r="G471" s="22"/>
      <c r="H471" s="22"/>
      <c r="I471" s="22"/>
      <c r="J471" s="22"/>
      <c r="K471" s="22"/>
      <c r="L471" s="22"/>
      <c r="M471" s="22"/>
      <c r="O471" s="3"/>
      <c r="V471" s="3"/>
      <c r="W471" s="3"/>
      <c r="X471" s="3"/>
      <c r="Y471" s="3"/>
      <c r="Z471" s="3"/>
    </row>
    <row r="472" spans="1:26" ht="12.75">
      <c r="A472" s="3"/>
      <c r="D472" s="22"/>
      <c r="E472" s="22"/>
      <c r="F472" s="22"/>
      <c r="G472" s="22"/>
      <c r="H472" s="22"/>
      <c r="I472" s="22"/>
      <c r="J472" s="22"/>
      <c r="K472" s="22"/>
      <c r="L472" s="22"/>
      <c r="M472" s="22"/>
      <c r="O472" s="3"/>
      <c r="V472" s="3"/>
      <c r="W472" s="3"/>
      <c r="X472" s="3"/>
      <c r="Y472" s="3"/>
      <c r="Z472" s="3"/>
    </row>
    <row r="473" spans="1:26" ht="12.75">
      <c r="A473" s="3"/>
      <c r="D473" s="22"/>
      <c r="E473" s="22"/>
      <c r="F473" s="22"/>
      <c r="G473" s="22"/>
      <c r="H473" s="22"/>
      <c r="I473" s="22"/>
      <c r="J473" s="22"/>
      <c r="K473" s="22"/>
      <c r="L473" s="22"/>
      <c r="M473" s="22"/>
      <c r="O473" s="3"/>
      <c r="V473" s="3"/>
      <c r="W473" s="3"/>
      <c r="X473" s="3"/>
      <c r="Y473" s="3"/>
      <c r="Z473" s="3"/>
    </row>
    <row r="474" spans="1:26" ht="12.75">
      <c r="A474" s="3"/>
      <c r="D474" s="22"/>
      <c r="E474" s="22"/>
      <c r="F474" s="22"/>
      <c r="G474" s="22"/>
      <c r="H474" s="22"/>
      <c r="I474" s="22"/>
      <c r="J474" s="22"/>
      <c r="K474" s="22"/>
      <c r="L474" s="22"/>
      <c r="M474" s="22"/>
      <c r="O474" s="3"/>
      <c r="V474" s="3"/>
      <c r="W474" s="3"/>
      <c r="X474" s="3"/>
      <c r="Y474" s="3"/>
      <c r="Z474" s="3"/>
    </row>
    <row r="475" spans="1:26" ht="12.75">
      <c r="A475" s="3"/>
      <c r="D475" s="22"/>
      <c r="E475" s="22"/>
      <c r="F475" s="22"/>
      <c r="G475" s="22"/>
      <c r="H475" s="22"/>
      <c r="I475" s="22"/>
      <c r="J475" s="22"/>
      <c r="K475" s="22"/>
      <c r="L475" s="22"/>
      <c r="M475" s="22"/>
      <c r="O475" s="3"/>
      <c r="V475" s="3"/>
      <c r="W475" s="3"/>
      <c r="X475" s="3"/>
      <c r="Y475" s="3"/>
      <c r="Z475" s="3"/>
    </row>
    <row r="476" spans="1:26" ht="12.75">
      <c r="A476" s="3"/>
      <c r="D476" s="22"/>
      <c r="E476" s="22"/>
      <c r="F476" s="22"/>
      <c r="G476" s="22"/>
      <c r="H476" s="22"/>
      <c r="I476" s="22"/>
      <c r="J476" s="22"/>
      <c r="K476" s="22"/>
      <c r="L476" s="22"/>
      <c r="M476" s="22"/>
      <c r="O476" s="3"/>
      <c r="V476" s="3"/>
      <c r="W476" s="3"/>
      <c r="X476" s="3"/>
      <c r="Y476" s="3"/>
      <c r="Z476" s="3"/>
    </row>
    <row r="477" spans="1:26" ht="12.75">
      <c r="A477" s="3"/>
      <c r="D477" s="22"/>
      <c r="E477" s="22"/>
      <c r="F477" s="22"/>
      <c r="G477" s="22"/>
      <c r="H477" s="22"/>
      <c r="I477" s="22"/>
      <c r="J477" s="22"/>
      <c r="K477" s="22"/>
      <c r="L477" s="22"/>
      <c r="M477" s="22"/>
      <c r="O477" s="3"/>
      <c r="V477" s="3"/>
      <c r="W477" s="3"/>
      <c r="X477" s="3"/>
      <c r="Y477" s="3"/>
      <c r="Z477" s="3"/>
    </row>
    <row r="478" spans="1:26" ht="12.75">
      <c r="A478" s="3"/>
      <c r="D478" s="22"/>
      <c r="E478" s="22"/>
      <c r="F478" s="22"/>
      <c r="G478" s="22"/>
      <c r="H478" s="22"/>
      <c r="I478" s="22"/>
      <c r="J478" s="22"/>
      <c r="K478" s="22"/>
      <c r="L478" s="22"/>
      <c r="M478" s="22"/>
      <c r="O478" s="3"/>
      <c r="V478" s="3"/>
      <c r="W478" s="3"/>
      <c r="X478" s="3"/>
      <c r="Y478" s="3"/>
      <c r="Z478" s="3"/>
    </row>
    <row r="479" spans="1:26" ht="12.75">
      <c r="A479" s="3"/>
      <c r="D479" s="22"/>
      <c r="E479" s="22"/>
      <c r="F479" s="22"/>
      <c r="G479" s="22"/>
      <c r="H479" s="22"/>
      <c r="I479" s="22"/>
      <c r="J479" s="22"/>
      <c r="K479" s="22"/>
      <c r="L479" s="22"/>
      <c r="M479" s="22"/>
      <c r="O479" s="3"/>
      <c r="V479" s="3"/>
      <c r="W479" s="3"/>
      <c r="X479" s="3"/>
      <c r="Y479" s="3"/>
      <c r="Z479" s="3"/>
    </row>
    <row r="480" spans="1:26" ht="12.75">
      <c r="A480" s="3"/>
      <c r="D480" s="22"/>
      <c r="E480" s="22"/>
      <c r="F480" s="22"/>
      <c r="G480" s="22"/>
      <c r="H480" s="22"/>
      <c r="I480" s="22"/>
      <c r="J480" s="22"/>
      <c r="K480" s="22"/>
      <c r="L480" s="22"/>
      <c r="M480" s="22"/>
      <c r="O480" s="3"/>
      <c r="V480" s="3"/>
      <c r="W480" s="3"/>
      <c r="X480" s="3"/>
      <c r="Y480" s="3"/>
      <c r="Z480" s="3"/>
    </row>
    <row r="481" spans="1:26" ht="12.75">
      <c r="A481" s="3"/>
      <c r="D481" s="22"/>
      <c r="E481" s="22"/>
      <c r="F481" s="22"/>
      <c r="G481" s="22"/>
      <c r="H481" s="22"/>
      <c r="I481" s="22"/>
      <c r="J481" s="22"/>
      <c r="K481" s="22"/>
      <c r="L481" s="22"/>
      <c r="M481" s="22"/>
      <c r="O481" s="3"/>
      <c r="V481" s="3"/>
      <c r="W481" s="3"/>
      <c r="X481" s="3"/>
      <c r="Y481" s="3"/>
      <c r="Z481" s="3"/>
    </row>
    <row r="482" spans="1:26" ht="12.75">
      <c r="A482" s="3"/>
      <c r="D482" s="22"/>
      <c r="E482" s="22"/>
      <c r="F482" s="22"/>
      <c r="G482" s="22"/>
      <c r="H482" s="22"/>
      <c r="I482" s="22"/>
      <c r="J482" s="22"/>
      <c r="K482" s="22"/>
      <c r="L482" s="22"/>
      <c r="M482" s="22"/>
      <c r="O482" s="3"/>
      <c r="V482" s="3"/>
      <c r="W482" s="3"/>
      <c r="X482" s="3"/>
      <c r="Y482" s="3"/>
      <c r="Z482" s="3"/>
    </row>
    <row r="483" spans="1:26" ht="12.75">
      <c r="A483" s="3"/>
      <c r="D483" s="22"/>
      <c r="E483" s="22"/>
      <c r="F483" s="22"/>
      <c r="G483" s="22"/>
      <c r="H483" s="22"/>
      <c r="I483" s="22"/>
      <c r="J483" s="22"/>
      <c r="K483" s="22"/>
      <c r="L483" s="22"/>
      <c r="M483" s="22"/>
      <c r="O483" s="3"/>
      <c r="V483" s="3"/>
      <c r="W483" s="3"/>
      <c r="X483" s="3"/>
      <c r="Y483" s="3"/>
      <c r="Z483" s="3"/>
    </row>
    <row r="484" spans="1:26" ht="12.75">
      <c r="A484" s="3"/>
      <c r="D484" s="22"/>
      <c r="E484" s="22"/>
      <c r="F484" s="22"/>
      <c r="G484" s="22"/>
      <c r="H484" s="22"/>
      <c r="I484" s="22"/>
      <c r="J484" s="22"/>
      <c r="K484" s="22"/>
      <c r="L484" s="22"/>
      <c r="M484" s="22"/>
      <c r="O484" s="3"/>
      <c r="V484" s="3"/>
      <c r="W484" s="3"/>
      <c r="X484" s="3"/>
      <c r="Y484" s="3"/>
      <c r="Z484" s="3"/>
    </row>
    <row r="485" spans="1:26" ht="12.75">
      <c r="A485" s="3"/>
      <c r="D485" s="22"/>
      <c r="E485" s="22"/>
      <c r="F485" s="22"/>
      <c r="G485" s="22"/>
      <c r="H485" s="22"/>
      <c r="I485" s="22"/>
      <c r="J485" s="22"/>
      <c r="K485" s="22"/>
      <c r="L485" s="22"/>
      <c r="M485" s="22"/>
      <c r="O485" s="3"/>
      <c r="V485" s="3"/>
      <c r="W485" s="3"/>
      <c r="X485" s="3"/>
      <c r="Y485" s="3"/>
      <c r="Z485" s="3"/>
    </row>
    <row r="486" spans="1:26" ht="12.75">
      <c r="A486" s="3"/>
      <c r="D486" s="22"/>
      <c r="E486" s="22"/>
      <c r="F486" s="22"/>
      <c r="G486" s="22"/>
      <c r="H486" s="22"/>
      <c r="I486" s="22"/>
      <c r="J486" s="22"/>
      <c r="K486" s="22"/>
      <c r="L486" s="22"/>
      <c r="M486" s="22"/>
      <c r="O486" s="3"/>
      <c r="V486" s="3"/>
      <c r="W486" s="3"/>
      <c r="X486" s="3"/>
      <c r="Y486" s="3"/>
      <c r="Z486" s="3"/>
    </row>
    <row r="487" spans="1:26" ht="12.75">
      <c r="A487" s="3"/>
      <c r="D487" s="22"/>
      <c r="E487" s="22"/>
      <c r="F487" s="22"/>
      <c r="G487" s="22"/>
      <c r="H487" s="22"/>
      <c r="I487" s="22"/>
      <c r="J487" s="22"/>
      <c r="K487" s="22"/>
      <c r="L487" s="22"/>
      <c r="M487" s="22"/>
      <c r="O487" s="3"/>
      <c r="V487" s="3"/>
      <c r="W487" s="3"/>
      <c r="X487" s="3"/>
      <c r="Y487" s="3"/>
      <c r="Z487" s="3"/>
    </row>
    <row r="488" spans="1:26" ht="12.75">
      <c r="A488" s="3"/>
      <c r="D488" s="22"/>
      <c r="E488" s="22"/>
      <c r="F488" s="22"/>
      <c r="G488" s="22"/>
      <c r="H488" s="22"/>
      <c r="I488" s="22"/>
      <c r="J488" s="22"/>
      <c r="K488" s="22"/>
      <c r="L488" s="22"/>
      <c r="M488" s="22"/>
      <c r="O488" s="3"/>
      <c r="V488" s="3"/>
      <c r="W488" s="3"/>
      <c r="X488" s="3"/>
      <c r="Y488" s="3"/>
      <c r="Z488" s="3"/>
    </row>
    <row r="489" spans="1:26" ht="12.75">
      <c r="A489" s="3"/>
      <c r="D489" s="22"/>
      <c r="E489" s="22"/>
      <c r="F489" s="22"/>
      <c r="G489" s="22"/>
      <c r="H489" s="22"/>
      <c r="I489" s="22"/>
      <c r="J489" s="22"/>
      <c r="K489" s="22"/>
      <c r="L489" s="22"/>
      <c r="M489" s="22"/>
      <c r="O489" s="3"/>
      <c r="V489" s="3"/>
      <c r="W489" s="3"/>
      <c r="X489" s="3"/>
      <c r="Y489" s="3"/>
      <c r="Z489" s="3"/>
    </row>
    <row r="490" spans="1:26" ht="12.75">
      <c r="A490" s="3"/>
      <c r="D490" s="22"/>
      <c r="E490" s="22"/>
      <c r="F490" s="22"/>
      <c r="G490" s="22"/>
      <c r="H490" s="22"/>
      <c r="I490" s="22"/>
      <c r="J490" s="22"/>
      <c r="K490" s="22"/>
      <c r="L490" s="22"/>
      <c r="M490" s="22"/>
      <c r="O490" s="3"/>
      <c r="V490" s="3"/>
      <c r="W490" s="3"/>
      <c r="X490" s="3"/>
      <c r="Y490" s="3"/>
      <c r="Z490" s="3"/>
    </row>
    <row r="491" spans="1:26" ht="12.75">
      <c r="A491" s="3"/>
      <c r="D491" s="22"/>
      <c r="E491" s="22"/>
      <c r="F491" s="22"/>
      <c r="G491" s="22"/>
      <c r="H491" s="22"/>
      <c r="I491" s="22"/>
      <c r="J491" s="22"/>
      <c r="K491" s="22"/>
      <c r="L491" s="22"/>
      <c r="M491" s="22"/>
      <c r="O491" s="3"/>
      <c r="V491" s="3"/>
      <c r="W491" s="3"/>
      <c r="X491" s="3"/>
      <c r="Y491" s="3"/>
      <c r="Z491" s="3"/>
    </row>
    <row r="492" spans="1:26" ht="12.75">
      <c r="A492" s="3"/>
      <c r="D492" s="22"/>
      <c r="E492" s="22"/>
      <c r="F492" s="22"/>
      <c r="G492" s="22"/>
      <c r="H492" s="22"/>
      <c r="I492" s="22"/>
      <c r="J492" s="22"/>
      <c r="K492" s="22"/>
      <c r="L492" s="22"/>
      <c r="M492" s="22"/>
      <c r="O492" s="3"/>
      <c r="V492" s="3"/>
      <c r="W492" s="3"/>
      <c r="X492" s="3"/>
      <c r="Y492" s="3"/>
      <c r="Z492" s="3"/>
    </row>
    <row r="493" spans="1:26" ht="12.75">
      <c r="A493" s="3"/>
      <c r="D493" s="22"/>
      <c r="E493" s="22"/>
      <c r="F493" s="22"/>
      <c r="G493" s="22"/>
      <c r="H493" s="22"/>
      <c r="I493" s="22"/>
      <c r="J493" s="22"/>
      <c r="K493" s="22"/>
      <c r="L493" s="22"/>
      <c r="M493" s="22"/>
      <c r="O493" s="3"/>
      <c r="V493" s="3"/>
      <c r="W493" s="3"/>
      <c r="X493" s="3"/>
      <c r="Y493" s="3"/>
      <c r="Z493" s="3"/>
    </row>
    <row r="494" spans="1:26" ht="12.75">
      <c r="A494" s="3"/>
      <c r="D494" s="22"/>
      <c r="E494" s="22"/>
      <c r="F494" s="22"/>
      <c r="G494" s="22"/>
      <c r="H494" s="22"/>
      <c r="I494" s="22"/>
      <c r="J494" s="22"/>
      <c r="K494" s="22"/>
      <c r="L494" s="22"/>
      <c r="M494" s="22"/>
      <c r="O494" s="3"/>
      <c r="V494" s="3"/>
      <c r="W494" s="3"/>
      <c r="X494" s="3"/>
      <c r="Y494" s="3"/>
      <c r="Z494" s="3"/>
    </row>
    <row r="495" spans="1:26" ht="12.75">
      <c r="A495" s="3"/>
      <c r="D495" s="22"/>
      <c r="E495" s="22"/>
      <c r="F495" s="22"/>
      <c r="G495" s="22"/>
      <c r="H495" s="22"/>
      <c r="I495" s="22"/>
      <c r="J495" s="22"/>
      <c r="K495" s="22"/>
      <c r="L495" s="22"/>
      <c r="M495" s="22"/>
      <c r="O495" s="3"/>
      <c r="V495" s="3"/>
      <c r="W495" s="3"/>
      <c r="X495" s="3"/>
      <c r="Y495" s="3"/>
      <c r="Z495" s="3"/>
    </row>
    <row r="496" spans="1:26" ht="12.75">
      <c r="A496" s="3"/>
      <c r="D496" s="22"/>
      <c r="E496" s="22"/>
      <c r="F496" s="22"/>
      <c r="G496" s="22"/>
      <c r="H496" s="22"/>
      <c r="I496" s="22"/>
      <c r="J496" s="22"/>
      <c r="K496" s="22"/>
      <c r="L496" s="22"/>
      <c r="M496" s="22"/>
      <c r="O496" s="3"/>
      <c r="V496" s="3"/>
      <c r="W496" s="3"/>
      <c r="X496" s="3"/>
      <c r="Y496" s="3"/>
      <c r="Z496" s="3"/>
    </row>
    <row r="497" spans="1:26" ht="12.75">
      <c r="A497" s="3"/>
      <c r="D497" s="22"/>
      <c r="E497" s="22"/>
      <c r="F497" s="22"/>
      <c r="G497" s="22"/>
      <c r="H497" s="22"/>
      <c r="I497" s="22"/>
      <c r="J497" s="22"/>
      <c r="K497" s="22"/>
      <c r="L497" s="22"/>
      <c r="M497" s="22"/>
      <c r="O497" s="3"/>
      <c r="V497" s="3"/>
      <c r="W497" s="3"/>
      <c r="X497" s="3"/>
      <c r="Y497" s="3"/>
      <c r="Z497" s="3"/>
    </row>
    <row r="498" spans="1:26" ht="12.75">
      <c r="A498" s="3"/>
      <c r="D498" s="22"/>
      <c r="E498" s="22"/>
      <c r="F498" s="22"/>
      <c r="G498" s="22"/>
      <c r="H498" s="22"/>
      <c r="I498" s="22"/>
      <c r="J498" s="22"/>
      <c r="K498" s="22"/>
      <c r="L498" s="22"/>
      <c r="M498" s="22"/>
      <c r="O498" s="3"/>
      <c r="V498" s="3"/>
      <c r="W498" s="3"/>
      <c r="X498" s="3"/>
      <c r="Y498" s="3"/>
      <c r="Z498" s="3"/>
    </row>
    <row r="499" spans="1:26" ht="12.75">
      <c r="A499" s="3"/>
      <c r="D499" s="22"/>
      <c r="E499" s="22"/>
      <c r="F499" s="22"/>
      <c r="G499" s="22"/>
      <c r="H499" s="22"/>
      <c r="I499" s="22"/>
      <c r="J499" s="22"/>
      <c r="K499" s="22"/>
      <c r="L499" s="22"/>
      <c r="M499" s="22"/>
      <c r="O499" s="3"/>
      <c r="V499" s="3"/>
      <c r="W499" s="3"/>
      <c r="X499" s="3"/>
      <c r="Y499" s="3"/>
      <c r="Z499" s="3"/>
    </row>
    <row r="500" spans="1:26" ht="12.75">
      <c r="A500" s="3"/>
      <c r="D500" s="22"/>
      <c r="E500" s="22"/>
      <c r="F500" s="22"/>
      <c r="G500" s="22"/>
      <c r="H500" s="22"/>
      <c r="I500" s="22"/>
      <c r="J500" s="22"/>
      <c r="K500" s="22"/>
      <c r="L500" s="22"/>
      <c r="M500" s="22"/>
      <c r="O500" s="3"/>
      <c r="V500" s="3"/>
      <c r="W500" s="3"/>
      <c r="X500" s="3"/>
      <c r="Y500" s="3"/>
      <c r="Z500" s="3"/>
    </row>
    <row r="501" spans="1:26" ht="12.75">
      <c r="A501" s="3"/>
      <c r="D501" s="22"/>
      <c r="E501" s="22"/>
      <c r="F501" s="22"/>
      <c r="G501" s="22"/>
      <c r="H501" s="22"/>
      <c r="I501" s="22"/>
      <c r="J501" s="22"/>
      <c r="K501" s="22"/>
      <c r="L501" s="22"/>
      <c r="M501" s="22"/>
      <c r="O501" s="3"/>
      <c r="V501" s="3"/>
      <c r="W501" s="3"/>
      <c r="X501" s="3"/>
      <c r="Y501" s="3"/>
      <c r="Z501" s="3"/>
    </row>
    <row r="502" spans="1:26" ht="12.75">
      <c r="A502" s="3"/>
      <c r="D502" s="22"/>
      <c r="E502" s="22"/>
      <c r="F502" s="22"/>
      <c r="G502" s="22"/>
      <c r="H502" s="22"/>
      <c r="I502" s="22"/>
      <c r="J502" s="22"/>
      <c r="K502" s="22"/>
      <c r="L502" s="22"/>
      <c r="M502" s="22"/>
      <c r="O502" s="3"/>
      <c r="V502" s="3"/>
      <c r="W502" s="3"/>
      <c r="X502" s="3"/>
      <c r="Y502" s="3"/>
      <c r="Z502" s="3"/>
    </row>
    <row r="503" spans="1:26" ht="12.75">
      <c r="A503" s="3"/>
      <c r="D503" s="22"/>
      <c r="E503" s="22"/>
      <c r="F503" s="22"/>
      <c r="G503" s="22"/>
      <c r="H503" s="22"/>
      <c r="I503" s="22"/>
      <c r="J503" s="22"/>
      <c r="K503" s="22"/>
      <c r="L503" s="22"/>
      <c r="M503" s="22"/>
      <c r="O503" s="3"/>
      <c r="V503" s="3"/>
      <c r="W503" s="3"/>
      <c r="X503" s="3"/>
      <c r="Y503" s="3"/>
      <c r="Z503" s="3"/>
    </row>
    <row r="504" spans="1:26" ht="12.75">
      <c r="A504" s="3"/>
      <c r="D504" s="22"/>
      <c r="E504" s="22"/>
      <c r="F504" s="22"/>
      <c r="G504" s="22"/>
      <c r="H504" s="22"/>
      <c r="I504" s="22"/>
      <c r="J504" s="22"/>
      <c r="K504" s="22"/>
      <c r="L504" s="22"/>
      <c r="M504" s="22"/>
      <c r="O504" s="3"/>
      <c r="V504" s="3"/>
      <c r="W504" s="3"/>
      <c r="X504" s="3"/>
      <c r="Y504" s="3"/>
      <c r="Z504" s="3"/>
    </row>
    <row r="505" spans="1:26" ht="12.75">
      <c r="A505" s="3"/>
      <c r="D505" s="22"/>
      <c r="E505" s="22"/>
      <c r="F505" s="22"/>
      <c r="G505" s="22"/>
      <c r="H505" s="22"/>
      <c r="I505" s="22"/>
      <c r="J505" s="22"/>
      <c r="K505" s="22"/>
      <c r="L505" s="22"/>
      <c r="M505" s="22"/>
      <c r="O505" s="3"/>
      <c r="V505" s="3"/>
      <c r="W505" s="3"/>
      <c r="X505" s="3"/>
      <c r="Y505" s="3"/>
      <c r="Z505" s="3"/>
    </row>
    <row r="506" spans="1:26" ht="12.75">
      <c r="A506" s="3"/>
      <c r="D506" s="22"/>
      <c r="E506" s="22"/>
      <c r="F506" s="22"/>
      <c r="G506" s="22"/>
      <c r="H506" s="22"/>
      <c r="I506" s="22"/>
      <c r="J506" s="22"/>
      <c r="K506" s="22"/>
      <c r="L506" s="22"/>
      <c r="M506" s="22"/>
      <c r="O506" s="3"/>
      <c r="V506" s="3"/>
      <c r="W506" s="3"/>
      <c r="X506" s="3"/>
      <c r="Y506" s="3"/>
      <c r="Z506" s="3"/>
    </row>
    <row r="507" spans="1:26" ht="12.75">
      <c r="A507" s="3"/>
      <c r="D507" s="22"/>
      <c r="E507" s="22"/>
      <c r="F507" s="22"/>
      <c r="G507" s="22"/>
      <c r="H507" s="22"/>
      <c r="I507" s="22"/>
      <c r="J507" s="22"/>
      <c r="K507" s="22"/>
      <c r="L507" s="22"/>
      <c r="M507" s="22"/>
      <c r="O507" s="3"/>
      <c r="V507" s="3"/>
      <c r="W507" s="3"/>
      <c r="X507" s="3"/>
      <c r="Y507" s="3"/>
      <c r="Z507" s="3"/>
    </row>
    <row r="508" spans="1:26" ht="12.75">
      <c r="A508" s="3"/>
      <c r="D508" s="22"/>
      <c r="E508" s="22"/>
      <c r="F508" s="22"/>
      <c r="G508" s="22"/>
      <c r="H508" s="22"/>
      <c r="I508" s="22"/>
      <c r="J508" s="22"/>
      <c r="K508" s="22"/>
      <c r="L508" s="22"/>
      <c r="M508" s="22"/>
      <c r="O508" s="3"/>
      <c r="V508" s="3"/>
      <c r="W508" s="3"/>
      <c r="X508" s="3"/>
      <c r="Y508" s="3"/>
      <c r="Z508" s="3"/>
    </row>
    <row r="509" spans="1:26" ht="12.75">
      <c r="A509" s="3"/>
      <c r="D509" s="22"/>
      <c r="E509" s="22"/>
      <c r="F509" s="22"/>
      <c r="G509" s="22"/>
      <c r="H509" s="22"/>
      <c r="I509" s="22"/>
      <c r="J509" s="22"/>
      <c r="K509" s="22"/>
      <c r="L509" s="22"/>
      <c r="M509" s="22"/>
      <c r="O509" s="3"/>
      <c r="V509" s="3"/>
      <c r="W509" s="3"/>
      <c r="X509" s="3"/>
      <c r="Y509" s="3"/>
      <c r="Z509" s="3"/>
    </row>
    <row r="510" spans="1:26" ht="12.75">
      <c r="A510" s="3"/>
      <c r="D510" s="22"/>
      <c r="E510" s="22"/>
      <c r="F510" s="22"/>
      <c r="G510" s="22"/>
      <c r="H510" s="22"/>
      <c r="I510" s="22"/>
      <c r="J510" s="22"/>
      <c r="K510" s="22"/>
      <c r="L510" s="22"/>
      <c r="M510" s="22"/>
      <c r="O510" s="3"/>
      <c r="V510" s="3"/>
      <c r="W510" s="3"/>
      <c r="X510" s="3"/>
      <c r="Y510" s="3"/>
      <c r="Z510" s="3"/>
    </row>
    <row r="511" spans="1:26" ht="12.75">
      <c r="A511" s="3"/>
      <c r="D511" s="22"/>
      <c r="E511" s="22"/>
      <c r="F511" s="22"/>
      <c r="G511" s="22"/>
      <c r="H511" s="22"/>
      <c r="I511" s="22"/>
      <c r="J511" s="22"/>
      <c r="K511" s="22"/>
      <c r="L511" s="22"/>
      <c r="M511" s="22"/>
      <c r="O511" s="3"/>
      <c r="V511" s="3"/>
      <c r="W511" s="3"/>
      <c r="X511" s="3"/>
      <c r="Y511" s="3"/>
      <c r="Z511" s="3"/>
    </row>
    <row r="512" spans="1:26" ht="12.75">
      <c r="A512" s="3"/>
      <c r="D512" s="22"/>
      <c r="E512" s="22"/>
      <c r="F512" s="22"/>
      <c r="G512" s="22"/>
      <c r="H512" s="22"/>
      <c r="I512" s="22"/>
      <c r="J512" s="22"/>
      <c r="K512" s="22"/>
      <c r="L512" s="22"/>
      <c r="M512" s="22"/>
      <c r="O512" s="3"/>
      <c r="V512" s="3"/>
      <c r="W512" s="3"/>
      <c r="X512" s="3"/>
      <c r="Y512" s="3"/>
      <c r="Z512" s="3"/>
    </row>
    <row r="513" spans="1:26" ht="12.75">
      <c r="A513" s="3"/>
      <c r="D513" s="22"/>
      <c r="E513" s="22"/>
      <c r="F513" s="22"/>
      <c r="G513" s="22"/>
      <c r="H513" s="22"/>
      <c r="I513" s="22"/>
      <c r="J513" s="22"/>
      <c r="K513" s="22"/>
      <c r="L513" s="22"/>
      <c r="M513" s="22"/>
      <c r="O513" s="3"/>
      <c r="V513" s="3"/>
      <c r="W513" s="3"/>
      <c r="X513" s="3"/>
      <c r="Y513" s="3"/>
      <c r="Z513" s="3"/>
    </row>
    <row r="514" spans="1:26" ht="12.75">
      <c r="A514" s="3"/>
      <c r="D514" s="22"/>
      <c r="E514" s="22"/>
      <c r="F514" s="22"/>
      <c r="G514" s="22"/>
      <c r="H514" s="22"/>
      <c r="I514" s="22"/>
      <c r="J514" s="22"/>
      <c r="K514" s="22"/>
      <c r="L514" s="22"/>
      <c r="M514" s="22"/>
      <c r="O514" s="3"/>
      <c r="V514" s="3"/>
      <c r="W514" s="3"/>
      <c r="X514" s="3"/>
      <c r="Y514" s="3"/>
      <c r="Z514" s="3"/>
    </row>
    <row r="515" spans="1:26" ht="12.75">
      <c r="A515" s="3"/>
      <c r="D515" s="22"/>
      <c r="E515" s="22"/>
      <c r="F515" s="22"/>
      <c r="G515" s="22"/>
      <c r="H515" s="22"/>
      <c r="I515" s="22"/>
      <c r="J515" s="22"/>
      <c r="K515" s="22"/>
      <c r="L515" s="22"/>
      <c r="M515" s="22"/>
      <c r="O515" s="3"/>
      <c r="V515" s="3"/>
      <c r="W515" s="3"/>
      <c r="X515" s="3"/>
      <c r="Y515" s="3"/>
      <c r="Z515" s="3"/>
    </row>
    <row r="516" spans="1:26" ht="12.75">
      <c r="A516" s="3"/>
      <c r="D516" s="22"/>
      <c r="E516" s="22"/>
      <c r="F516" s="22"/>
      <c r="G516" s="22"/>
      <c r="H516" s="22"/>
      <c r="I516" s="22"/>
      <c r="J516" s="22"/>
      <c r="K516" s="22"/>
      <c r="L516" s="22"/>
      <c r="M516" s="22"/>
      <c r="O516" s="3"/>
      <c r="V516" s="3"/>
      <c r="W516" s="3"/>
      <c r="X516" s="3"/>
      <c r="Y516" s="3"/>
      <c r="Z516" s="3"/>
    </row>
    <row r="517" spans="1:26" ht="12.75">
      <c r="A517" s="3"/>
      <c r="D517" s="22"/>
      <c r="E517" s="22"/>
      <c r="F517" s="22"/>
      <c r="G517" s="22"/>
      <c r="H517" s="22"/>
      <c r="I517" s="22"/>
      <c r="J517" s="22"/>
      <c r="K517" s="22"/>
      <c r="L517" s="22"/>
      <c r="M517" s="22"/>
      <c r="O517" s="3"/>
      <c r="V517" s="3"/>
      <c r="W517" s="3"/>
      <c r="X517" s="3"/>
      <c r="Y517" s="3"/>
      <c r="Z517" s="3"/>
    </row>
    <row r="518" spans="1:26" ht="12.75">
      <c r="A518" s="3"/>
      <c r="D518" s="22"/>
      <c r="E518" s="22"/>
      <c r="F518" s="22"/>
      <c r="G518" s="22"/>
      <c r="H518" s="22"/>
      <c r="I518" s="22"/>
      <c r="J518" s="22"/>
      <c r="K518" s="22"/>
      <c r="L518" s="22"/>
      <c r="M518" s="22"/>
      <c r="O518" s="3"/>
      <c r="V518" s="3"/>
      <c r="W518" s="3"/>
      <c r="X518" s="3"/>
      <c r="Y518" s="3"/>
      <c r="Z518" s="3"/>
    </row>
    <row r="519" spans="1:26" ht="12.75">
      <c r="A519" s="3"/>
      <c r="D519" s="22"/>
      <c r="E519" s="22"/>
      <c r="F519" s="22"/>
      <c r="G519" s="22"/>
      <c r="H519" s="22"/>
      <c r="I519" s="22"/>
      <c r="J519" s="22"/>
      <c r="K519" s="22"/>
      <c r="L519" s="22"/>
      <c r="M519" s="22"/>
      <c r="O519" s="3"/>
      <c r="V519" s="3"/>
      <c r="W519" s="3"/>
      <c r="X519" s="3"/>
      <c r="Y519" s="3"/>
      <c r="Z519" s="3"/>
    </row>
    <row r="520" spans="1:26" ht="12.75">
      <c r="A520" s="3"/>
      <c r="D520" s="22"/>
      <c r="E520" s="22"/>
      <c r="F520" s="22"/>
      <c r="G520" s="22"/>
      <c r="H520" s="22"/>
      <c r="I520" s="22"/>
      <c r="J520" s="22"/>
      <c r="K520" s="22"/>
      <c r="L520" s="22"/>
      <c r="M520" s="22"/>
      <c r="O520" s="3"/>
      <c r="V520" s="3"/>
      <c r="W520" s="3"/>
      <c r="X520" s="3"/>
      <c r="Y520" s="3"/>
      <c r="Z520" s="3"/>
    </row>
    <row r="521" spans="1:26" ht="12.75">
      <c r="A521" s="3"/>
      <c r="D521" s="22"/>
      <c r="E521" s="22"/>
      <c r="F521" s="22"/>
      <c r="G521" s="22"/>
      <c r="H521" s="22"/>
      <c r="I521" s="22"/>
      <c r="J521" s="22"/>
      <c r="K521" s="22"/>
      <c r="L521" s="22"/>
      <c r="M521" s="22"/>
      <c r="O521" s="3"/>
      <c r="V521" s="3"/>
      <c r="W521" s="3"/>
      <c r="X521" s="3"/>
      <c r="Y521" s="3"/>
      <c r="Z521" s="3"/>
    </row>
    <row r="522" spans="1:26" ht="12.75">
      <c r="A522" s="3"/>
      <c r="D522" s="22"/>
      <c r="E522" s="22"/>
      <c r="F522" s="22"/>
      <c r="G522" s="22"/>
      <c r="H522" s="22"/>
      <c r="I522" s="22"/>
      <c r="J522" s="22"/>
      <c r="K522" s="22"/>
      <c r="L522" s="22"/>
      <c r="M522" s="22"/>
      <c r="O522" s="3"/>
      <c r="V522" s="3"/>
      <c r="W522" s="3"/>
      <c r="X522" s="3"/>
      <c r="Y522" s="3"/>
      <c r="Z522" s="3"/>
    </row>
    <row r="523" spans="1:26" ht="12.75">
      <c r="A523" s="3"/>
      <c r="D523" s="22"/>
      <c r="E523" s="22"/>
      <c r="F523" s="22"/>
      <c r="G523" s="22"/>
      <c r="H523" s="22"/>
      <c r="I523" s="22"/>
      <c r="J523" s="22"/>
      <c r="K523" s="22"/>
      <c r="L523" s="22"/>
      <c r="M523" s="22"/>
      <c r="O523" s="3"/>
      <c r="V523" s="3"/>
      <c r="W523" s="3"/>
      <c r="X523" s="3"/>
      <c r="Y523" s="3"/>
      <c r="Z523" s="3"/>
    </row>
    <row r="524" spans="1:26" ht="12.75">
      <c r="A524" s="3"/>
      <c r="D524" s="22"/>
      <c r="E524" s="22"/>
      <c r="F524" s="22"/>
      <c r="G524" s="22"/>
      <c r="H524" s="22"/>
      <c r="I524" s="22"/>
      <c r="J524" s="22"/>
      <c r="K524" s="22"/>
      <c r="L524" s="22"/>
      <c r="M524" s="22"/>
      <c r="O524" s="3"/>
      <c r="V524" s="3"/>
      <c r="W524" s="3"/>
      <c r="X524" s="3"/>
      <c r="Y524" s="3"/>
      <c r="Z524" s="3"/>
    </row>
    <row r="525" spans="1:26" ht="12.75">
      <c r="A525" s="3"/>
      <c r="D525" s="22"/>
      <c r="E525" s="22"/>
      <c r="F525" s="22"/>
      <c r="G525" s="22"/>
      <c r="H525" s="22"/>
      <c r="I525" s="22"/>
      <c r="J525" s="22"/>
      <c r="K525" s="22"/>
      <c r="L525" s="22"/>
      <c r="M525" s="22"/>
      <c r="O525" s="3"/>
      <c r="V525" s="3"/>
      <c r="W525" s="3"/>
      <c r="X525" s="3"/>
      <c r="Y525" s="3"/>
      <c r="Z525" s="3"/>
    </row>
    <row r="526" spans="1:26" ht="12.75">
      <c r="A526" s="3"/>
      <c r="D526" s="22"/>
      <c r="E526" s="22"/>
      <c r="F526" s="22"/>
      <c r="G526" s="22"/>
      <c r="H526" s="22"/>
      <c r="I526" s="22"/>
      <c r="J526" s="22"/>
      <c r="K526" s="22"/>
      <c r="L526" s="22"/>
      <c r="M526" s="22"/>
      <c r="O526" s="3"/>
      <c r="V526" s="3"/>
      <c r="W526" s="3"/>
      <c r="X526" s="3"/>
      <c r="Y526" s="3"/>
      <c r="Z526" s="3"/>
    </row>
    <row r="527" spans="1:26" ht="12.75">
      <c r="A527" s="3"/>
      <c r="D527" s="22"/>
      <c r="E527" s="22"/>
      <c r="F527" s="22"/>
      <c r="G527" s="22"/>
      <c r="H527" s="22"/>
      <c r="I527" s="22"/>
      <c r="J527" s="22"/>
      <c r="K527" s="22"/>
      <c r="L527" s="22"/>
      <c r="M527" s="22"/>
      <c r="O527" s="3"/>
      <c r="V527" s="3"/>
      <c r="W527" s="3"/>
      <c r="X527" s="3"/>
      <c r="Y527" s="3"/>
      <c r="Z527" s="3"/>
    </row>
    <row r="528" spans="1:26" ht="12.75">
      <c r="A528" s="3"/>
      <c r="D528" s="22"/>
      <c r="E528" s="22"/>
      <c r="F528" s="22"/>
      <c r="G528" s="22"/>
      <c r="H528" s="22"/>
      <c r="I528" s="22"/>
      <c r="J528" s="22"/>
      <c r="K528" s="22"/>
      <c r="L528" s="22"/>
      <c r="M528" s="22"/>
      <c r="O528" s="3"/>
      <c r="V528" s="3"/>
      <c r="W528" s="3"/>
      <c r="X528" s="3"/>
      <c r="Y528" s="3"/>
      <c r="Z528" s="3"/>
    </row>
    <row r="529" spans="1:26" ht="12.75">
      <c r="A529" s="3"/>
      <c r="D529" s="22"/>
      <c r="E529" s="22"/>
      <c r="F529" s="22"/>
      <c r="G529" s="22"/>
      <c r="H529" s="22"/>
      <c r="I529" s="22"/>
      <c r="J529" s="22"/>
      <c r="K529" s="22"/>
      <c r="L529" s="22"/>
      <c r="M529" s="22"/>
      <c r="O529" s="3"/>
      <c r="V529" s="3"/>
      <c r="W529" s="3"/>
      <c r="X529" s="3"/>
      <c r="Y529" s="3"/>
      <c r="Z529" s="3"/>
    </row>
    <row r="530" spans="1:26" ht="12.75">
      <c r="A530" s="3"/>
      <c r="D530" s="22"/>
      <c r="E530" s="22"/>
      <c r="F530" s="22"/>
      <c r="G530" s="22"/>
      <c r="H530" s="22"/>
      <c r="I530" s="22"/>
      <c r="J530" s="22"/>
      <c r="K530" s="22"/>
      <c r="L530" s="22"/>
      <c r="M530" s="22"/>
      <c r="O530" s="3"/>
      <c r="V530" s="3"/>
      <c r="W530" s="3"/>
      <c r="X530" s="3"/>
      <c r="Y530" s="3"/>
      <c r="Z530" s="3"/>
    </row>
    <row r="531" spans="1:26" ht="12.75">
      <c r="A531" s="3"/>
      <c r="D531" s="22"/>
      <c r="E531" s="22"/>
      <c r="F531" s="22"/>
      <c r="G531" s="22"/>
      <c r="H531" s="22"/>
      <c r="I531" s="22"/>
      <c r="J531" s="22"/>
      <c r="K531" s="22"/>
      <c r="L531" s="22"/>
      <c r="M531" s="22"/>
      <c r="O531" s="3"/>
      <c r="V531" s="3"/>
      <c r="W531" s="3"/>
      <c r="X531" s="3"/>
      <c r="Y531" s="3"/>
      <c r="Z531" s="3"/>
    </row>
    <row r="532" spans="1:26" ht="12.75">
      <c r="A532" s="3"/>
      <c r="D532" s="22"/>
      <c r="E532" s="22"/>
      <c r="F532" s="22"/>
      <c r="G532" s="22"/>
      <c r="H532" s="22"/>
      <c r="I532" s="22"/>
      <c r="J532" s="22"/>
      <c r="K532" s="22"/>
      <c r="L532" s="22"/>
      <c r="M532" s="22"/>
      <c r="O532" s="3"/>
      <c r="V532" s="3"/>
      <c r="W532" s="3"/>
      <c r="X532" s="3"/>
      <c r="Y532" s="3"/>
      <c r="Z532" s="3"/>
    </row>
    <row r="533" spans="1:26" ht="12.75">
      <c r="A533" s="3"/>
      <c r="D533" s="22"/>
      <c r="E533" s="22"/>
      <c r="F533" s="22"/>
      <c r="G533" s="22"/>
      <c r="H533" s="22"/>
      <c r="I533" s="22"/>
      <c r="J533" s="22"/>
      <c r="K533" s="22"/>
      <c r="L533" s="22"/>
      <c r="M533" s="22"/>
      <c r="O533" s="3"/>
      <c r="V533" s="3"/>
      <c r="W533" s="3"/>
      <c r="X533" s="3"/>
      <c r="Y533" s="3"/>
      <c r="Z533" s="3"/>
    </row>
    <row r="534" spans="1:26" ht="12.75">
      <c r="A534" s="3"/>
      <c r="D534" s="22"/>
      <c r="E534" s="22"/>
      <c r="F534" s="22"/>
      <c r="G534" s="22"/>
      <c r="H534" s="22"/>
      <c r="I534" s="22"/>
      <c r="J534" s="22"/>
      <c r="K534" s="22"/>
      <c r="L534" s="22"/>
      <c r="M534" s="22"/>
      <c r="O534" s="3"/>
      <c r="V534" s="3"/>
      <c r="W534" s="3"/>
      <c r="X534" s="3"/>
      <c r="Y534" s="3"/>
      <c r="Z534" s="3"/>
    </row>
    <row r="535" spans="1:26" ht="12.75">
      <c r="A535" s="3"/>
      <c r="D535" s="22"/>
      <c r="E535" s="22"/>
      <c r="F535" s="22"/>
      <c r="G535" s="22"/>
      <c r="H535" s="22"/>
      <c r="I535" s="22"/>
      <c r="J535" s="22"/>
      <c r="K535" s="22"/>
      <c r="L535" s="22"/>
      <c r="M535" s="22"/>
      <c r="O535" s="3"/>
      <c r="V535" s="3"/>
      <c r="W535" s="3"/>
      <c r="X535" s="3"/>
      <c r="Y535" s="3"/>
      <c r="Z535" s="3"/>
    </row>
    <row r="536" spans="1:26" ht="12.75">
      <c r="A536" s="3"/>
      <c r="D536" s="22"/>
      <c r="E536" s="22"/>
      <c r="F536" s="22"/>
      <c r="G536" s="22"/>
      <c r="H536" s="22"/>
      <c r="I536" s="22"/>
      <c r="J536" s="22"/>
      <c r="K536" s="22"/>
      <c r="L536" s="22"/>
      <c r="M536" s="22"/>
      <c r="O536" s="3"/>
      <c r="V536" s="3"/>
      <c r="W536" s="3"/>
      <c r="X536" s="3"/>
      <c r="Y536" s="3"/>
      <c r="Z536" s="3"/>
    </row>
    <row r="537" spans="1:26" ht="12.75">
      <c r="A537" s="3"/>
      <c r="D537" s="22"/>
      <c r="E537" s="22"/>
      <c r="F537" s="22"/>
      <c r="G537" s="22"/>
      <c r="H537" s="22"/>
      <c r="I537" s="22"/>
      <c r="J537" s="22"/>
      <c r="K537" s="22"/>
      <c r="L537" s="22"/>
      <c r="M537" s="22"/>
      <c r="O537" s="3"/>
      <c r="V537" s="3"/>
      <c r="W537" s="3"/>
      <c r="X537" s="3"/>
      <c r="Y537" s="3"/>
      <c r="Z537" s="3"/>
    </row>
    <row r="538" spans="1:26" ht="12.75">
      <c r="A538" s="3"/>
      <c r="D538" s="22"/>
      <c r="E538" s="22"/>
      <c r="F538" s="22"/>
      <c r="G538" s="22"/>
      <c r="H538" s="22"/>
      <c r="I538" s="22"/>
      <c r="J538" s="22"/>
      <c r="K538" s="22"/>
      <c r="L538" s="22"/>
      <c r="M538" s="22"/>
      <c r="O538" s="3"/>
      <c r="V538" s="3"/>
      <c r="W538" s="3"/>
      <c r="X538" s="3"/>
      <c r="Y538" s="3"/>
      <c r="Z538" s="3"/>
    </row>
    <row r="539" spans="1:26" ht="12.75">
      <c r="A539" s="3"/>
      <c r="D539" s="22"/>
      <c r="E539" s="22"/>
      <c r="F539" s="22"/>
      <c r="G539" s="22"/>
      <c r="H539" s="22"/>
      <c r="I539" s="22"/>
      <c r="J539" s="22"/>
      <c r="K539" s="22"/>
      <c r="L539" s="22"/>
      <c r="M539" s="22"/>
      <c r="O539" s="3"/>
      <c r="V539" s="3"/>
      <c r="W539" s="3"/>
      <c r="X539" s="3"/>
      <c r="Y539" s="3"/>
      <c r="Z539" s="3"/>
    </row>
    <row r="540" spans="1:26" ht="12.75">
      <c r="A540" s="3"/>
      <c r="D540" s="22"/>
      <c r="E540" s="22"/>
      <c r="F540" s="22"/>
      <c r="G540" s="22"/>
      <c r="H540" s="22"/>
      <c r="I540" s="22"/>
      <c r="J540" s="22"/>
      <c r="K540" s="22"/>
      <c r="L540" s="22"/>
      <c r="M540" s="22"/>
      <c r="O540" s="3"/>
      <c r="V540" s="3"/>
      <c r="W540" s="3"/>
      <c r="X540" s="3"/>
      <c r="Y540" s="3"/>
      <c r="Z540" s="3"/>
    </row>
    <row r="541" spans="1:26" ht="12.75">
      <c r="A541" s="3"/>
      <c r="D541" s="22"/>
      <c r="E541" s="22"/>
      <c r="F541" s="22"/>
      <c r="G541" s="22"/>
      <c r="H541" s="22"/>
      <c r="I541" s="22"/>
      <c r="J541" s="22"/>
      <c r="K541" s="22"/>
      <c r="L541" s="22"/>
      <c r="M541" s="22"/>
      <c r="O541" s="3"/>
      <c r="V541" s="3"/>
      <c r="W541" s="3"/>
      <c r="X541" s="3"/>
      <c r="Y541" s="3"/>
      <c r="Z541" s="3"/>
    </row>
    <row r="542" spans="1:26" ht="12.75">
      <c r="A542" s="3"/>
      <c r="D542" s="22"/>
      <c r="E542" s="22"/>
      <c r="F542" s="22"/>
      <c r="G542" s="22"/>
      <c r="H542" s="22"/>
      <c r="I542" s="22"/>
      <c r="J542" s="22"/>
      <c r="K542" s="22"/>
      <c r="L542" s="22"/>
      <c r="M542" s="22"/>
      <c r="O542" s="3"/>
      <c r="V542" s="3"/>
      <c r="W542" s="3"/>
      <c r="X542" s="3"/>
      <c r="Y542" s="3"/>
      <c r="Z542" s="3"/>
    </row>
    <row r="543" spans="1:26" ht="12.75">
      <c r="A543" s="3"/>
      <c r="D543" s="22"/>
      <c r="E543" s="22"/>
      <c r="F543" s="22"/>
      <c r="G543" s="22"/>
      <c r="H543" s="22"/>
      <c r="I543" s="22"/>
      <c r="J543" s="22"/>
      <c r="K543" s="22"/>
      <c r="L543" s="22"/>
      <c r="M543" s="22"/>
      <c r="O543" s="3"/>
      <c r="V543" s="3"/>
      <c r="W543" s="3"/>
      <c r="X543" s="3"/>
      <c r="Y543" s="3"/>
      <c r="Z543" s="3"/>
    </row>
    <row r="544" spans="1:26" ht="12.75">
      <c r="A544" s="3"/>
      <c r="D544" s="22"/>
      <c r="E544" s="22"/>
      <c r="F544" s="22"/>
      <c r="G544" s="22"/>
      <c r="H544" s="22"/>
      <c r="I544" s="22"/>
      <c r="J544" s="22"/>
      <c r="K544" s="22"/>
      <c r="L544" s="22"/>
      <c r="M544" s="22"/>
      <c r="O544" s="3"/>
      <c r="V544" s="3"/>
      <c r="W544" s="3"/>
      <c r="X544" s="3"/>
      <c r="Y544" s="3"/>
      <c r="Z544" s="3"/>
    </row>
    <row r="545" spans="1:26" ht="12.75">
      <c r="A545" s="3"/>
      <c r="D545" s="22"/>
      <c r="E545" s="22"/>
      <c r="F545" s="22"/>
      <c r="G545" s="22"/>
      <c r="H545" s="22"/>
      <c r="I545" s="22"/>
      <c r="J545" s="22"/>
      <c r="K545" s="22"/>
      <c r="L545" s="22"/>
      <c r="M545" s="22"/>
      <c r="O545" s="3"/>
      <c r="V545" s="3"/>
      <c r="W545" s="3"/>
      <c r="X545" s="3"/>
      <c r="Y545" s="3"/>
      <c r="Z545" s="3"/>
    </row>
    <row r="546" spans="1:26" ht="12.75">
      <c r="A546" s="3"/>
      <c r="D546" s="22"/>
      <c r="E546" s="22"/>
      <c r="F546" s="22"/>
      <c r="G546" s="22"/>
      <c r="H546" s="22"/>
      <c r="I546" s="22"/>
      <c r="J546" s="22"/>
      <c r="K546" s="22"/>
      <c r="L546" s="22"/>
      <c r="M546" s="22"/>
      <c r="O546" s="3"/>
      <c r="V546" s="3"/>
      <c r="W546" s="3"/>
      <c r="X546" s="3"/>
      <c r="Y546" s="3"/>
      <c r="Z546" s="3"/>
    </row>
    <row r="547" spans="1:26" ht="12.75">
      <c r="A547" s="3"/>
      <c r="D547" s="22"/>
      <c r="E547" s="22"/>
      <c r="F547" s="22"/>
      <c r="G547" s="22"/>
      <c r="H547" s="22"/>
      <c r="I547" s="22"/>
      <c r="J547" s="22"/>
      <c r="K547" s="22"/>
      <c r="L547" s="22"/>
      <c r="M547" s="22"/>
      <c r="O547" s="3"/>
      <c r="V547" s="3"/>
      <c r="W547" s="3"/>
      <c r="X547" s="3"/>
      <c r="Y547" s="3"/>
      <c r="Z547" s="3"/>
    </row>
    <row r="548" spans="1:26" ht="12.75">
      <c r="A548" s="3"/>
      <c r="D548" s="22"/>
      <c r="E548" s="22"/>
      <c r="F548" s="22"/>
      <c r="G548" s="22"/>
      <c r="H548" s="22"/>
      <c r="I548" s="22"/>
      <c r="J548" s="22"/>
      <c r="K548" s="22"/>
      <c r="L548" s="22"/>
      <c r="M548" s="22"/>
      <c r="O548" s="3"/>
      <c r="V548" s="3"/>
      <c r="W548" s="3"/>
      <c r="X548" s="3"/>
      <c r="Y548" s="3"/>
      <c r="Z548" s="3"/>
    </row>
    <row r="549" spans="1:26" ht="12.75">
      <c r="A549" s="3"/>
      <c r="D549" s="22"/>
      <c r="E549" s="22"/>
      <c r="F549" s="22"/>
      <c r="G549" s="22"/>
      <c r="H549" s="22"/>
      <c r="I549" s="22"/>
      <c r="J549" s="22"/>
      <c r="K549" s="22"/>
      <c r="L549" s="22"/>
      <c r="M549" s="22"/>
      <c r="O549" s="3"/>
      <c r="V549" s="3"/>
      <c r="W549" s="3"/>
      <c r="X549" s="3"/>
      <c r="Y549" s="3"/>
      <c r="Z549" s="3"/>
    </row>
    <row r="550" spans="1:26" ht="12.75">
      <c r="A550" s="3"/>
      <c r="D550" s="22"/>
      <c r="E550" s="22"/>
      <c r="F550" s="22"/>
      <c r="G550" s="22"/>
      <c r="H550" s="22"/>
      <c r="I550" s="22"/>
      <c r="J550" s="22"/>
      <c r="K550" s="22"/>
      <c r="L550" s="22"/>
      <c r="M550" s="22"/>
      <c r="O550" s="3"/>
      <c r="V550" s="3"/>
      <c r="W550" s="3"/>
      <c r="X550" s="3"/>
      <c r="Y550" s="3"/>
      <c r="Z550" s="3"/>
    </row>
    <row r="551" spans="1:26" ht="12.75">
      <c r="A551" s="3"/>
      <c r="D551" s="22"/>
      <c r="E551" s="22"/>
      <c r="F551" s="22"/>
      <c r="G551" s="22"/>
      <c r="H551" s="22"/>
      <c r="I551" s="22"/>
      <c r="J551" s="22"/>
      <c r="K551" s="22"/>
      <c r="L551" s="22"/>
      <c r="M551" s="22"/>
      <c r="O551" s="3"/>
      <c r="V551" s="3"/>
      <c r="W551" s="3"/>
      <c r="X551" s="3"/>
      <c r="Y551" s="3"/>
      <c r="Z551" s="3"/>
    </row>
    <row r="552" spans="1:26" ht="12.75">
      <c r="A552" s="3"/>
      <c r="D552" s="22"/>
      <c r="E552" s="22"/>
      <c r="F552" s="22"/>
      <c r="G552" s="22"/>
      <c r="H552" s="22"/>
      <c r="I552" s="22"/>
      <c r="J552" s="22"/>
      <c r="K552" s="22"/>
      <c r="L552" s="22"/>
      <c r="M552" s="22"/>
      <c r="O552" s="3"/>
      <c r="V552" s="3"/>
      <c r="W552" s="3"/>
      <c r="X552" s="3"/>
      <c r="Y552" s="3"/>
      <c r="Z552" s="3"/>
    </row>
    <row r="553" spans="1:26" ht="12.75">
      <c r="A553" s="3"/>
      <c r="D553" s="22"/>
      <c r="E553" s="22"/>
      <c r="F553" s="22"/>
      <c r="G553" s="22"/>
      <c r="H553" s="22"/>
      <c r="I553" s="22"/>
      <c r="J553" s="22"/>
      <c r="K553" s="22"/>
      <c r="L553" s="22"/>
      <c r="M553" s="22"/>
      <c r="O553" s="3"/>
      <c r="V553" s="3"/>
      <c r="W553" s="3"/>
      <c r="X553" s="3"/>
      <c r="Y553" s="3"/>
      <c r="Z553" s="3"/>
    </row>
    <row r="554" spans="1:26" ht="12.75">
      <c r="A554" s="3"/>
      <c r="D554" s="22"/>
      <c r="E554" s="22"/>
      <c r="F554" s="22"/>
      <c r="G554" s="22"/>
      <c r="H554" s="22"/>
      <c r="I554" s="22"/>
      <c r="J554" s="22"/>
      <c r="K554" s="22"/>
      <c r="L554" s="22"/>
      <c r="M554" s="22"/>
      <c r="O554" s="3"/>
      <c r="V554" s="3"/>
      <c r="W554" s="3"/>
      <c r="X554" s="3"/>
      <c r="Y554" s="3"/>
      <c r="Z554" s="3"/>
    </row>
    <row r="555" spans="1:26" ht="12.75">
      <c r="A555" s="3"/>
      <c r="D555" s="22"/>
      <c r="E555" s="22"/>
      <c r="F555" s="22"/>
      <c r="G555" s="22"/>
      <c r="H555" s="22"/>
      <c r="I555" s="22"/>
      <c r="J555" s="22"/>
      <c r="K555" s="22"/>
      <c r="L555" s="22"/>
      <c r="M555" s="22"/>
      <c r="O555" s="3"/>
      <c r="V555" s="3"/>
      <c r="W555" s="3"/>
      <c r="X555" s="3"/>
      <c r="Y555" s="3"/>
      <c r="Z555" s="3"/>
    </row>
    <row r="556" spans="1:26" ht="12.75">
      <c r="A556" s="3"/>
      <c r="D556" s="22"/>
      <c r="E556" s="22"/>
      <c r="F556" s="22"/>
      <c r="G556" s="22"/>
      <c r="H556" s="22"/>
      <c r="I556" s="22"/>
      <c r="J556" s="22"/>
      <c r="K556" s="22"/>
      <c r="L556" s="22"/>
      <c r="M556" s="22"/>
      <c r="O556" s="3"/>
      <c r="V556" s="3"/>
      <c r="W556" s="3"/>
      <c r="X556" s="3"/>
      <c r="Y556" s="3"/>
      <c r="Z556" s="3"/>
    </row>
    <row r="557" spans="1:26" ht="12.75">
      <c r="A557" s="3"/>
      <c r="D557" s="22"/>
      <c r="E557" s="22"/>
      <c r="F557" s="22"/>
      <c r="G557" s="22"/>
      <c r="H557" s="22"/>
      <c r="I557" s="22"/>
      <c r="J557" s="22"/>
      <c r="K557" s="22"/>
      <c r="L557" s="22"/>
      <c r="M557" s="22"/>
      <c r="O557" s="3"/>
      <c r="V557" s="3"/>
      <c r="W557" s="3"/>
      <c r="X557" s="3"/>
      <c r="Y557" s="3"/>
      <c r="Z557" s="3"/>
    </row>
    <row r="558" spans="1:26" ht="12.75">
      <c r="A558" s="3"/>
      <c r="D558" s="22"/>
      <c r="E558" s="22"/>
      <c r="F558" s="22"/>
      <c r="G558" s="22"/>
      <c r="H558" s="22"/>
      <c r="I558" s="22"/>
      <c r="J558" s="22"/>
      <c r="K558" s="22"/>
      <c r="L558" s="22"/>
      <c r="M558" s="22"/>
      <c r="O558" s="3"/>
      <c r="V558" s="3"/>
      <c r="W558" s="3"/>
      <c r="X558" s="3"/>
      <c r="Y558" s="3"/>
      <c r="Z558" s="3"/>
    </row>
    <row r="559" spans="1:26" ht="12.75">
      <c r="A559" s="3"/>
      <c r="D559" s="22"/>
      <c r="E559" s="22"/>
      <c r="F559" s="22"/>
      <c r="G559" s="22"/>
      <c r="H559" s="22"/>
      <c r="I559" s="22"/>
      <c r="J559" s="22"/>
      <c r="K559" s="22"/>
      <c r="L559" s="22"/>
      <c r="M559" s="22"/>
      <c r="O559" s="3"/>
      <c r="V559" s="3"/>
      <c r="W559" s="3"/>
      <c r="X559" s="3"/>
      <c r="Y559" s="3"/>
      <c r="Z559" s="3"/>
    </row>
    <row r="560" spans="1:26" ht="12.75">
      <c r="A560" s="3"/>
      <c r="D560" s="22"/>
      <c r="E560" s="22"/>
      <c r="F560" s="22"/>
      <c r="G560" s="22"/>
      <c r="H560" s="22"/>
      <c r="I560" s="22"/>
      <c r="J560" s="22"/>
      <c r="K560" s="22"/>
      <c r="L560" s="22"/>
      <c r="M560" s="22"/>
      <c r="O560" s="3"/>
      <c r="V560" s="3"/>
      <c r="W560" s="3"/>
      <c r="X560" s="3"/>
      <c r="Y560" s="3"/>
      <c r="Z560" s="3"/>
    </row>
    <row r="561" spans="1:26" ht="12.75">
      <c r="A561" s="3"/>
      <c r="D561" s="22"/>
      <c r="E561" s="22"/>
      <c r="F561" s="22"/>
      <c r="G561" s="22"/>
      <c r="H561" s="22"/>
      <c r="I561" s="22"/>
      <c r="J561" s="22"/>
      <c r="K561" s="22"/>
      <c r="L561" s="22"/>
      <c r="M561" s="22"/>
      <c r="O561" s="3"/>
      <c r="V561" s="3"/>
      <c r="W561" s="3"/>
      <c r="X561" s="3"/>
      <c r="Y561" s="3"/>
      <c r="Z561" s="3"/>
    </row>
    <row r="562" spans="1:26" ht="12.75">
      <c r="A562" s="3"/>
      <c r="D562" s="22"/>
      <c r="E562" s="22"/>
      <c r="F562" s="22"/>
      <c r="G562" s="22"/>
      <c r="H562" s="22"/>
      <c r="I562" s="22"/>
      <c r="J562" s="22"/>
      <c r="K562" s="22"/>
      <c r="L562" s="22"/>
      <c r="M562" s="22"/>
      <c r="O562" s="3"/>
      <c r="V562" s="3"/>
      <c r="W562" s="3"/>
      <c r="X562" s="3"/>
      <c r="Y562" s="3"/>
      <c r="Z562" s="3"/>
    </row>
    <row r="563" spans="1:26" ht="12.75">
      <c r="A563" s="3"/>
      <c r="D563" s="22"/>
      <c r="E563" s="22"/>
      <c r="F563" s="22"/>
      <c r="G563" s="22"/>
      <c r="H563" s="22"/>
      <c r="I563" s="22"/>
      <c r="J563" s="22"/>
      <c r="K563" s="22"/>
      <c r="L563" s="22"/>
      <c r="M563" s="22"/>
      <c r="O563" s="3"/>
      <c r="V563" s="3"/>
      <c r="W563" s="3"/>
      <c r="X563" s="3"/>
      <c r="Y563" s="3"/>
      <c r="Z563" s="3"/>
    </row>
    <row r="564" spans="1:26" ht="12.75">
      <c r="A564" s="3"/>
      <c r="D564" s="22"/>
      <c r="E564" s="22"/>
      <c r="F564" s="22"/>
      <c r="G564" s="22"/>
      <c r="H564" s="22"/>
      <c r="I564" s="22"/>
      <c r="J564" s="22"/>
      <c r="K564" s="22"/>
      <c r="L564" s="22"/>
      <c r="M564" s="22"/>
      <c r="O564" s="3"/>
      <c r="V564" s="3"/>
      <c r="W564" s="3"/>
      <c r="X564" s="3"/>
      <c r="Y564" s="3"/>
      <c r="Z564" s="3"/>
    </row>
    <row r="565" spans="1:26" ht="12.75">
      <c r="A565" s="3"/>
      <c r="D565" s="22"/>
      <c r="E565" s="22"/>
      <c r="F565" s="22"/>
      <c r="G565" s="22"/>
      <c r="H565" s="22"/>
      <c r="I565" s="22"/>
      <c r="J565" s="22"/>
      <c r="K565" s="22"/>
      <c r="L565" s="22"/>
      <c r="M565" s="22"/>
      <c r="O565" s="3"/>
      <c r="V565" s="3"/>
      <c r="W565" s="3"/>
      <c r="X565" s="3"/>
      <c r="Y565" s="3"/>
      <c r="Z565" s="3"/>
    </row>
    <row r="566" spans="1:26" ht="12.75">
      <c r="A566" s="3"/>
      <c r="D566" s="22"/>
      <c r="E566" s="22"/>
      <c r="F566" s="22"/>
      <c r="G566" s="22"/>
      <c r="H566" s="22"/>
      <c r="I566" s="22"/>
      <c r="J566" s="22"/>
      <c r="K566" s="22"/>
      <c r="L566" s="22"/>
      <c r="M566" s="22"/>
      <c r="O566" s="3"/>
      <c r="V566" s="3"/>
      <c r="W566" s="3"/>
      <c r="X566" s="3"/>
      <c r="Y566" s="3"/>
      <c r="Z566" s="3"/>
    </row>
    <row r="567" spans="1:26" ht="12.75">
      <c r="A567" s="3"/>
      <c r="D567" s="22"/>
      <c r="E567" s="22"/>
      <c r="F567" s="22"/>
      <c r="G567" s="22"/>
      <c r="H567" s="22"/>
      <c r="I567" s="22"/>
      <c r="J567" s="22"/>
      <c r="K567" s="22"/>
      <c r="L567" s="22"/>
      <c r="M567" s="22"/>
      <c r="O567" s="3"/>
      <c r="V567" s="3"/>
      <c r="W567" s="3"/>
      <c r="X567" s="3"/>
      <c r="Y567" s="3"/>
      <c r="Z567" s="3"/>
    </row>
    <row r="568" spans="1:26" ht="12.75">
      <c r="A568" s="3"/>
      <c r="D568" s="22"/>
      <c r="E568" s="22"/>
      <c r="F568" s="22"/>
      <c r="G568" s="22"/>
      <c r="H568" s="22"/>
      <c r="I568" s="22"/>
      <c r="J568" s="22"/>
      <c r="K568" s="22"/>
      <c r="L568" s="22"/>
      <c r="M568" s="22"/>
      <c r="O568" s="3"/>
      <c r="V568" s="3"/>
      <c r="W568" s="3"/>
      <c r="X568" s="3"/>
      <c r="Y568" s="3"/>
      <c r="Z568" s="3"/>
    </row>
    <row r="569" spans="1:26" ht="12.75">
      <c r="A569" s="3"/>
      <c r="D569" s="22"/>
      <c r="E569" s="22"/>
      <c r="F569" s="22"/>
      <c r="G569" s="22"/>
      <c r="H569" s="22"/>
      <c r="I569" s="22"/>
      <c r="J569" s="22"/>
      <c r="K569" s="22"/>
      <c r="L569" s="22"/>
      <c r="M569" s="22"/>
      <c r="O569" s="3"/>
      <c r="V569" s="3"/>
      <c r="W569" s="3"/>
      <c r="X569" s="3"/>
      <c r="Y569" s="3"/>
      <c r="Z569" s="3"/>
    </row>
    <row r="570" spans="1:26" ht="12.75">
      <c r="A570" s="3"/>
      <c r="D570" s="22"/>
      <c r="E570" s="22"/>
      <c r="F570" s="22"/>
      <c r="G570" s="22"/>
      <c r="H570" s="22"/>
      <c r="I570" s="22"/>
      <c r="J570" s="22"/>
      <c r="K570" s="22"/>
      <c r="L570" s="22"/>
      <c r="M570" s="22"/>
      <c r="O570" s="3"/>
      <c r="V570" s="3"/>
      <c r="W570" s="3"/>
      <c r="X570" s="3"/>
      <c r="Y570" s="3"/>
      <c r="Z570" s="3"/>
    </row>
    <row r="571" spans="1:26" ht="12.75">
      <c r="A571" s="3"/>
      <c r="D571" s="22"/>
      <c r="E571" s="22"/>
      <c r="F571" s="22"/>
      <c r="G571" s="22"/>
      <c r="H571" s="22"/>
      <c r="I571" s="22"/>
      <c r="J571" s="22"/>
      <c r="K571" s="22"/>
      <c r="L571" s="22"/>
      <c r="M571" s="22"/>
      <c r="O571" s="3"/>
      <c r="V571" s="3"/>
      <c r="W571" s="3"/>
      <c r="X571" s="3"/>
      <c r="Y571" s="3"/>
      <c r="Z571" s="3"/>
    </row>
    <row r="572" spans="1:26" ht="12.75">
      <c r="A572" s="3"/>
      <c r="D572" s="22"/>
      <c r="E572" s="22"/>
      <c r="F572" s="22"/>
      <c r="G572" s="22"/>
      <c r="H572" s="22"/>
      <c r="I572" s="22"/>
      <c r="J572" s="22"/>
      <c r="K572" s="22"/>
      <c r="L572" s="22"/>
      <c r="M572" s="22"/>
      <c r="O572" s="3"/>
      <c r="V572" s="3"/>
      <c r="W572" s="3"/>
      <c r="X572" s="3"/>
      <c r="Y572" s="3"/>
      <c r="Z572" s="3"/>
    </row>
    <row r="573" spans="1:26" ht="12.75">
      <c r="A573" s="3"/>
      <c r="D573" s="22"/>
      <c r="E573" s="22"/>
      <c r="F573" s="22"/>
      <c r="G573" s="22"/>
      <c r="H573" s="22"/>
      <c r="I573" s="22"/>
      <c r="J573" s="22"/>
      <c r="K573" s="22"/>
      <c r="L573" s="22"/>
      <c r="M573" s="22"/>
      <c r="O573" s="3"/>
      <c r="V573" s="3"/>
      <c r="W573" s="3"/>
      <c r="X573" s="3"/>
      <c r="Y573" s="3"/>
      <c r="Z573" s="3"/>
    </row>
    <row r="574" spans="1:26" ht="12.75">
      <c r="A574" s="3"/>
      <c r="D574" s="22"/>
      <c r="E574" s="22"/>
      <c r="F574" s="22"/>
      <c r="G574" s="22"/>
      <c r="H574" s="22"/>
      <c r="I574" s="22"/>
      <c r="J574" s="22"/>
      <c r="K574" s="22"/>
      <c r="L574" s="22"/>
      <c r="M574" s="22"/>
      <c r="O574" s="3"/>
      <c r="V574" s="3"/>
      <c r="W574" s="3"/>
      <c r="X574" s="3"/>
      <c r="Y574" s="3"/>
      <c r="Z574" s="3"/>
    </row>
    <row r="575" spans="1:26" ht="12.75">
      <c r="A575" s="3"/>
      <c r="D575" s="22"/>
      <c r="E575" s="22"/>
      <c r="F575" s="22"/>
      <c r="G575" s="22"/>
      <c r="H575" s="22"/>
      <c r="I575" s="22"/>
      <c r="J575" s="22"/>
      <c r="K575" s="22"/>
      <c r="L575" s="22"/>
      <c r="M575" s="22"/>
      <c r="O575" s="3"/>
      <c r="V575" s="3"/>
      <c r="W575" s="3"/>
      <c r="X575" s="3"/>
      <c r="Y575" s="3"/>
      <c r="Z575" s="3"/>
    </row>
    <row r="576" spans="1:26" ht="12.75">
      <c r="A576" s="3"/>
      <c r="D576" s="22"/>
      <c r="E576" s="22"/>
      <c r="F576" s="22"/>
      <c r="G576" s="22"/>
      <c r="H576" s="22"/>
      <c r="I576" s="22"/>
      <c r="J576" s="22"/>
      <c r="K576" s="22"/>
      <c r="L576" s="22"/>
      <c r="M576" s="22"/>
      <c r="O576" s="3"/>
      <c r="V576" s="3"/>
      <c r="W576" s="3"/>
      <c r="X576" s="3"/>
      <c r="Y576" s="3"/>
      <c r="Z576" s="3"/>
    </row>
    <row r="577" spans="1:26" ht="12.75">
      <c r="A577" s="3"/>
      <c r="D577" s="22"/>
      <c r="E577" s="22"/>
      <c r="F577" s="22"/>
      <c r="G577" s="22"/>
      <c r="H577" s="22"/>
      <c r="I577" s="22"/>
      <c r="J577" s="22"/>
      <c r="K577" s="22"/>
      <c r="L577" s="22"/>
      <c r="M577" s="22"/>
      <c r="O577" s="3"/>
      <c r="V577" s="3"/>
      <c r="W577" s="3"/>
      <c r="X577" s="3"/>
      <c r="Y577" s="3"/>
      <c r="Z577" s="3"/>
    </row>
    <row r="578" spans="1:26" ht="12.75">
      <c r="A578" s="3"/>
      <c r="D578" s="22"/>
      <c r="E578" s="22"/>
      <c r="F578" s="22"/>
      <c r="G578" s="22"/>
      <c r="H578" s="22"/>
      <c r="I578" s="22"/>
      <c r="J578" s="22"/>
      <c r="K578" s="22"/>
      <c r="L578" s="22"/>
      <c r="M578" s="22"/>
      <c r="O578" s="3"/>
      <c r="V578" s="3"/>
      <c r="W578" s="3"/>
      <c r="X578" s="3"/>
      <c r="Y578" s="3"/>
      <c r="Z578" s="3"/>
    </row>
    <row r="579" spans="1:26" ht="12.75">
      <c r="A579" s="3"/>
      <c r="D579" s="22"/>
      <c r="E579" s="22"/>
      <c r="F579" s="22"/>
      <c r="G579" s="22"/>
      <c r="H579" s="22"/>
      <c r="I579" s="22"/>
      <c r="J579" s="22"/>
      <c r="K579" s="22"/>
      <c r="L579" s="22"/>
      <c r="M579" s="22"/>
      <c r="O579" s="3"/>
      <c r="V579" s="3"/>
      <c r="W579" s="3"/>
      <c r="X579" s="3"/>
      <c r="Y579" s="3"/>
      <c r="Z579" s="3"/>
    </row>
    <row r="580" spans="1:26" ht="12.75">
      <c r="A580" s="3"/>
      <c r="D580" s="22"/>
      <c r="E580" s="22"/>
      <c r="F580" s="22"/>
      <c r="G580" s="22"/>
      <c r="H580" s="22"/>
      <c r="I580" s="22"/>
      <c r="J580" s="22"/>
      <c r="K580" s="22"/>
      <c r="L580" s="22"/>
      <c r="M580" s="22"/>
      <c r="O580" s="3"/>
      <c r="V580" s="3"/>
      <c r="W580" s="3"/>
      <c r="X580" s="3"/>
      <c r="Y580" s="3"/>
      <c r="Z580" s="3"/>
    </row>
    <row r="581" spans="1:26" ht="12.75">
      <c r="A581" s="3"/>
      <c r="D581" s="22"/>
      <c r="E581" s="22"/>
      <c r="F581" s="22"/>
      <c r="G581" s="22"/>
      <c r="H581" s="22"/>
      <c r="I581" s="22"/>
      <c r="J581" s="22"/>
      <c r="K581" s="22"/>
      <c r="L581" s="22"/>
      <c r="M581" s="22"/>
      <c r="O581" s="3"/>
      <c r="V581" s="3"/>
      <c r="W581" s="3"/>
      <c r="X581" s="3"/>
      <c r="Y581" s="3"/>
      <c r="Z581" s="3"/>
    </row>
    <row r="582" spans="1:26" ht="12.75">
      <c r="A582" s="3"/>
      <c r="D582" s="22"/>
      <c r="E582" s="22"/>
      <c r="F582" s="22"/>
      <c r="G582" s="22"/>
      <c r="H582" s="22"/>
      <c r="I582" s="22"/>
      <c r="J582" s="22"/>
      <c r="K582" s="22"/>
      <c r="L582" s="22"/>
      <c r="M582" s="22"/>
      <c r="O582" s="3"/>
      <c r="V582" s="3"/>
      <c r="W582" s="3"/>
      <c r="X582" s="3"/>
      <c r="Y582" s="3"/>
      <c r="Z582" s="3"/>
    </row>
    <row r="583" spans="1:26" ht="12.75">
      <c r="A583" s="3"/>
      <c r="D583" s="22"/>
      <c r="E583" s="22"/>
      <c r="F583" s="22"/>
      <c r="G583" s="22"/>
      <c r="H583" s="22"/>
      <c r="I583" s="22"/>
      <c r="J583" s="22"/>
      <c r="K583" s="22"/>
      <c r="L583" s="22"/>
      <c r="M583" s="22"/>
      <c r="O583" s="3"/>
      <c r="V583" s="3"/>
      <c r="W583" s="3"/>
      <c r="X583" s="3"/>
      <c r="Y583" s="3"/>
      <c r="Z583" s="3"/>
    </row>
    <row r="584" spans="1:26" ht="12.75">
      <c r="A584" s="3"/>
      <c r="D584" s="22"/>
      <c r="E584" s="22"/>
      <c r="F584" s="22"/>
      <c r="G584" s="22"/>
      <c r="H584" s="22"/>
      <c r="I584" s="22"/>
      <c r="J584" s="22"/>
      <c r="K584" s="22"/>
      <c r="L584" s="22"/>
      <c r="M584" s="22"/>
      <c r="O584" s="3"/>
      <c r="V584" s="3"/>
      <c r="W584" s="3"/>
      <c r="X584" s="3"/>
      <c r="Y584" s="3"/>
      <c r="Z584" s="3"/>
    </row>
    <row r="585" spans="1:26" ht="12.75">
      <c r="A585" s="3"/>
      <c r="D585" s="22"/>
      <c r="E585" s="22"/>
      <c r="F585" s="22"/>
      <c r="G585" s="22"/>
      <c r="H585" s="22"/>
      <c r="I585" s="22"/>
      <c r="J585" s="22"/>
      <c r="K585" s="22"/>
      <c r="L585" s="22"/>
      <c r="M585" s="22"/>
      <c r="O585" s="3"/>
      <c r="V585" s="3"/>
      <c r="W585" s="3"/>
      <c r="X585" s="3"/>
      <c r="Y585" s="3"/>
      <c r="Z585" s="3"/>
    </row>
    <row r="586" spans="1:26" ht="12.75">
      <c r="A586" s="3"/>
      <c r="D586" s="22"/>
      <c r="E586" s="22"/>
      <c r="F586" s="22"/>
      <c r="G586" s="22"/>
      <c r="H586" s="22"/>
      <c r="I586" s="22"/>
      <c r="J586" s="22"/>
      <c r="K586" s="22"/>
      <c r="L586" s="22"/>
      <c r="M586" s="22"/>
      <c r="O586" s="3"/>
      <c r="V586" s="3"/>
      <c r="W586" s="3"/>
      <c r="X586" s="3"/>
      <c r="Y586" s="3"/>
      <c r="Z586" s="3"/>
    </row>
    <row r="587" spans="1:26" ht="12.75">
      <c r="A587" s="3"/>
      <c r="D587" s="22"/>
      <c r="E587" s="22"/>
      <c r="F587" s="22"/>
      <c r="G587" s="22"/>
      <c r="H587" s="22"/>
      <c r="I587" s="22"/>
      <c r="J587" s="22"/>
      <c r="K587" s="22"/>
      <c r="L587" s="22"/>
      <c r="M587" s="22"/>
      <c r="O587" s="3"/>
      <c r="V587" s="3"/>
      <c r="W587" s="3"/>
      <c r="X587" s="3"/>
      <c r="Y587" s="3"/>
      <c r="Z587" s="3"/>
    </row>
    <row r="588" spans="1:26" ht="12.75">
      <c r="A588" s="3"/>
      <c r="D588" s="22"/>
      <c r="E588" s="22"/>
      <c r="F588" s="22"/>
      <c r="G588" s="22"/>
      <c r="H588" s="22"/>
      <c r="I588" s="22"/>
      <c r="J588" s="22"/>
      <c r="K588" s="22"/>
      <c r="L588" s="22"/>
      <c r="M588" s="22"/>
      <c r="O588" s="3"/>
      <c r="V588" s="3"/>
      <c r="W588" s="3"/>
      <c r="X588" s="3"/>
      <c r="Y588" s="3"/>
      <c r="Z588" s="3"/>
    </row>
    <row r="589" spans="1:26" ht="12.75">
      <c r="A589" s="3"/>
      <c r="D589" s="22"/>
      <c r="E589" s="22"/>
      <c r="F589" s="22"/>
      <c r="G589" s="22"/>
      <c r="H589" s="22"/>
      <c r="I589" s="22"/>
      <c r="J589" s="22"/>
      <c r="K589" s="22"/>
      <c r="L589" s="22"/>
      <c r="M589" s="22"/>
      <c r="O589" s="3"/>
      <c r="V589" s="3"/>
      <c r="W589" s="3"/>
      <c r="X589" s="3"/>
      <c r="Y589" s="3"/>
      <c r="Z589" s="3"/>
    </row>
    <row r="590" spans="1:26" ht="12.75">
      <c r="A590" s="3"/>
      <c r="D590" s="22"/>
      <c r="E590" s="22"/>
      <c r="F590" s="22"/>
      <c r="G590" s="22"/>
      <c r="H590" s="22"/>
      <c r="I590" s="22"/>
      <c r="J590" s="22"/>
      <c r="K590" s="22"/>
      <c r="L590" s="22"/>
      <c r="M590" s="22"/>
      <c r="O590" s="3"/>
      <c r="V590" s="3"/>
      <c r="W590" s="3"/>
      <c r="X590" s="3"/>
      <c r="Y590" s="3"/>
      <c r="Z590" s="3"/>
    </row>
    <row r="591" spans="1:26" ht="12.75">
      <c r="A591" s="3"/>
      <c r="D591" s="22"/>
      <c r="E591" s="22"/>
      <c r="F591" s="22"/>
      <c r="G591" s="22"/>
      <c r="H591" s="22"/>
      <c r="I591" s="22"/>
      <c r="J591" s="22"/>
      <c r="K591" s="22"/>
      <c r="L591" s="22"/>
      <c r="M591" s="22"/>
      <c r="O591" s="3"/>
      <c r="V591" s="3"/>
      <c r="W591" s="3"/>
      <c r="X591" s="3"/>
      <c r="Y591" s="3"/>
      <c r="Z591" s="3"/>
    </row>
    <row r="592" spans="1:26" ht="12.75">
      <c r="A592" s="3"/>
      <c r="D592" s="22"/>
      <c r="E592" s="22"/>
      <c r="F592" s="22"/>
      <c r="G592" s="22"/>
      <c r="H592" s="22"/>
      <c r="I592" s="22"/>
      <c r="J592" s="22"/>
      <c r="K592" s="22"/>
      <c r="L592" s="22"/>
      <c r="M592" s="22"/>
      <c r="O592" s="3"/>
      <c r="V592" s="3"/>
      <c r="W592" s="3"/>
      <c r="X592" s="3"/>
      <c r="Y592" s="3"/>
      <c r="Z592" s="3"/>
    </row>
    <row r="593" spans="1:26" ht="12.75">
      <c r="A593" s="3"/>
      <c r="D593" s="22"/>
      <c r="E593" s="22"/>
      <c r="F593" s="22"/>
      <c r="G593" s="22"/>
      <c r="H593" s="22"/>
      <c r="I593" s="22"/>
      <c r="J593" s="22"/>
      <c r="K593" s="22"/>
      <c r="L593" s="22"/>
      <c r="M593" s="22"/>
      <c r="O593" s="3"/>
      <c r="V593" s="3"/>
      <c r="W593" s="3"/>
      <c r="X593" s="3"/>
      <c r="Y593" s="3"/>
      <c r="Z593" s="3"/>
    </row>
    <row r="594" spans="1:26" ht="12.75">
      <c r="A594" s="3"/>
      <c r="D594" s="22"/>
      <c r="E594" s="22"/>
      <c r="F594" s="22"/>
      <c r="G594" s="22"/>
      <c r="H594" s="22"/>
      <c r="I594" s="22"/>
      <c r="J594" s="22"/>
      <c r="K594" s="22"/>
      <c r="L594" s="22"/>
      <c r="M594" s="22"/>
      <c r="O594" s="3"/>
      <c r="V594" s="3"/>
      <c r="W594" s="3"/>
      <c r="X594" s="3"/>
      <c r="Y594" s="3"/>
      <c r="Z594" s="3"/>
    </row>
    <row r="595" spans="1:26" ht="12.75">
      <c r="A595" s="3"/>
      <c r="D595" s="22"/>
      <c r="E595" s="22"/>
      <c r="F595" s="22"/>
      <c r="G595" s="22"/>
      <c r="H595" s="22"/>
      <c r="I595" s="22"/>
      <c r="J595" s="22"/>
      <c r="K595" s="22"/>
      <c r="L595" s="22"/>
      <c r="M595" s="22"/>
      <c r="O595" s="3"/>
      <c r="V595" s="3"/>
      <c r="W595" s="3"/>
      <c r="X595" s="3"/>
      <c r="Y595" s="3"/>
      <c r="Z595" s="3"/>
    </row>
    <row r="596" spans="1:26" ht="12.75">
      <c r="A596" s="3"/>
      <c r="D596" s="22"/>
      <c r="E596" s="22"/>
      <c r="F596" s="22"/>
      <c r="G596" s="22"/>
      <c r="H596" s="22"/>
      <c r="I596" s="22"/>
      <c r="J596" s="22"/>
      <c r="K596" s="22"/>
      <c r="L596" s="22"/>
      <c r="M596" s="22"/>
      <c r="O596" s="3"/>
      <c r="V596" s="3"/>
      <c r="W596" s="3"/>
      <c r="X596" s="3"/>
      <c r="Y596" s="3"/>
      <c r="Z596" s="3"/>
    </row>
    <row r="597" spans="1:26" ht="12.75">
      <c r="A597" s="3"/>
      <c r="D597" s="22"/>
      <c r="E597" s="22"/>
      <c r="F597" s="22"/>
      <c r="G597" s="22"/>
      <c r="H597" s="22"/>
      <c r="I597" s="22"/>
      <c r="J597" s="22"/>
      <c r="K597" s="22"/>
      <c r="L597" s="22"/>
      <c r="M597" s="22"/>
      <c r="O597" s="3"/>
      <c r="V597" s="3"/>
      <c r="W597" s="3"/>
      <c r="X597" s="3"/>
      <c r="Y597" s="3"/>
      <c r="Z597" s="3"/>
    </row>
    <row r="598" spans="1:26" ht="12.75">
      <c r="A598" s="3"/>
      <c r="D598" s="22"/>
      <c r="E598" s="22"/>
      <c r="F598" s="22"/>
      <c r="G598" s="22"/>
      <c r="H598" s="22"/>
      <c r="I598" s="22"/>
      <c r="J598" s="22"/>
      <c r="K598" s="22"/>
      <c r="L598" s="22"/>
      <c r="M598" s="22"/>
      <c r="O598" s="3"/>
      <c r="V598" s="3"/>
      <c r="W598" s="3"/>
      <c r="X598" s="3"/>
      <c r="Y598" s="3"/>
      <c r="Z598" s="3"/>
    </row>
    <row r="599" spans="1:26" ht="12.75">
      <c r="A599" s="3"/>
      <c r="D599" s="22"/>
      <c r="E599" s="22"/>
      <c r="F599" s="22"/>
      <c r="G599" s="22"/>
      <c r="H599" s="22"/>
      <c r="I599" s="22"/>
      <c r="J599" s="22"/>
      <c r="K599" s="22"/>
      <c r="L599" s="22"/>
      <c r="M599" s="22"/>
      <c r="O599" s="3"/>
      <c r="V599" s="3"/>
      <c r="W599" s="3"/>
      <c r="X599" s="3"/>
      <c r="Y599" s="3"/>
      <c r="Z599" s="3"/>
    </row>
    <row r="600" spans="1:26" ht="12.75">
      <c r="A600" s="3"/>
      <c r="D600" s="22"/>
      <c r="E600" s="22"/>
      <c r="F600" s="22"/>
      <c r="G600" s="22"/>
      <c r="H600" s="22"/>
      <c r="I600" s="22"/>
      <c r="J600" s="22"/>
      <c r="K600" s="22"/>
      <c r="L600" s="22"/>
      <c r="M600" s="22"/>
      <c r="O600" s="3"/>
      <c r="V600" s="3"/>
      <c r="W600" s="3"/>
      <c r="X600" s="3"/>
      <c r="Y600" s="3"/>
      <c r="Z600" s="3"/>
    </row>
    <row r="601" spans="1:26" ht="12.75">
      <c r="A601" s="3"/>
      <c r="D601" s="22"/>
      <c r="E601" s="22"/>
      <c r="F601" s="22"/>
      <c r="G601" s="22"/>
      <c r="H601" s="22"/>
      <c r="I601" s="22"/>
      <c r="J601" s="22"/>
      <c r="K601" s="22"/>
      <c r="L601" s="22"/>
      <c r="M601" s="22"/>
      <c r="O601" s="3"/>
      <c r="V601" s="3"/>
      <c r="W601" s="3"/>
      <c r="X601" s="3"/>
      <c r="Y601" s="3"/>
      <c r="Z601" s="3"/>
    </row>
    <row r="602" spans="1:26" ht="12.75">
      <c r="A602" s="3"/>
      <c r="D602" s="22"/>
      <c r="E602" s="22"/>
      <c r="F602" s="22"/>
      <c r="G602" s="22"/>
      <c r="H602" s="22"/>
      <c r="I602" s="22"/>
      <c r="J602" s="22"/>
      <c r="K602" s="22"/>
      <c r="L602" s="22"/>
      <c r="M602" s="22"/>
      <c r="O602" s="3"/>
      <c r="V602" s="3"/>
      <c r="W602" s="3"/>
      <c r="X602" s="3"/>
      <c r="Y602" s="3"/>
      <c r="Z602" s="3"/>
    </row>
    <row r="603" spans="1:26" ht="12.75">
      <c r="A603" s="3"/>
      <c r="D603" s="22"/>
      <c r="E603" s="22"/>
      <c r="F603" s="22"/>
      <c r="G603" s="22"/>
      <c r="H603" s="22"/>
      <c r="I603" s="22"/>
      <c r="J603" s="22"/>
      <c r="K603" s="22"/>
      <c r="L603" s="22"/>
      <c r="M603" s="22"/>
      <c r="O603" s="3"/>
      <c r="V603" s="3"/>
      <c r="W603" s="3"/>
      <c r="X603" s="3"/>
      <c r="Y603" s="3"/>
      <c r="Z603" s="3"/>
    </row>
    <row r="604" spans="1:26" ht="12.75">
      <c r="A604" s="3"/>
      <c r="D604" s="22"/>
      <c r="E604" s="22"/>
      <c r="F604" s="22"/>
      <c r="G604" s="22"/>
      <c r="H604" s="22"/>
      <c r="I604" s="22"/>
      <c r="J604" s="22"/>
      <c r="K604" s="22"/>
      <c r="L604" s="22"/>
      <c r="M604" s="22"/>
      <c r="O604" s="3"/>
      <c r="V604" s="3"/>
      <c r="W604" s="3"/>
      <c r="X604" s="3"/>
      <c r="Y604" s="3"/>
      <c r="Z604" s="3"/>
    </row>
    <row r="605" spans="1:26" ht="12.75">
      <c r="A605" s="3"/>
      <c r="D605" s="22"/>
      <c r="E605" s="22"/>
      <c r="F605" s="22"/>
      <c r="G605" s="22"/>
      <c r="H605" s="22"/>
      <c r="I605" s="22"/>
      <c r="J605" s="22"/>
      <c r="K605" s="22"/>
      <c r="L605" s="22"/>
      <c r="M605" s="22"/>
      <c r="O605" s="3"/>
      <c r="V605" s="3"/>
      <c r="W605" s="3"/>
      <c r="X605" s="3"/>
      <c r="Y605" s="3"/>
      <c r="Z605" s="3"/>
    </row>
    <row r="606" spans="1:26" ht="12.75">
      <c r="A606" s="3"/>
      <c r="D606" s="22"/>
      <c r="E606" s="22"/>
      <c r="F606" s="22"/>
      <c r="G606" s="22"/>
      <c r="H606" s="22"/>
      <c r="I606" s="22"/>
      <c r="J606" s="22"/>
      <c r="K606" s="22"/>
      <c r="L606" s="22"/>
      <c r="M606" s="22"/>
      <c r="O606" s="3"/>
      <c r="V606" s="3"/>
      <c r="W606" s="3"/>
      <c r="X606" s="3"/>
      <c r="Y606" s="3"/>
      <c r="Z606" s="3"/>
    </row>
    <row r="607" spans="1:26" ht="12.75">
      <c r="A607" s="3"/>
      <c r="D607" s="22"/>
      <c r="E607" s="22"/>
      <c r="F607" s="22"/>
      <c r="G607" s="22"/>
      <c r="H607" s="22"/>
      <c r="I607" s="22"/>
      <c r="J607" s="22"/>
      <c r="K607" s="22"/>
      <c r="L607" s="22"/>
      <c r="M607" s="22"/>
      <c r="O607" s="3"/>
      <c r="V607" s="3"/>
      <c r="W607" s="3"/>
      <c r="X607" s="3"/>
      <c r="Y607" s="3"/>
      <c r="Z607" s="3"/>
    </row>
    <row r="608" spans="1:26" ht="12.75">
      <c r="A608" s="3"/>
      <c r="D608" s="22"/>
      <c r="E608" s="22"/>
      <c r="F608" s="22"/>
      <c r="G608" s="22"/>
      <c r="H608" s="22"/>
      <c r="I608" s="22"/>
      <c r="J608" s="22"/>
      <c r="K608" s="22"/>
      <c r="L608" s="22"/>
      <c r="M608" s="22"/>
      <c r="O608" s="3"/>
      <c r="V608" s="3"/>
      <c r="W608" s="3"/>
      <c r="X608" s="3"/>
      <c r="Y608" s="3"/>
      <c r="Z608" s="3"/>
    </row>
    <row r="609" spans="1:26" ht="12.75">
      <c r="A609" s="3"/>
      <c r="D609" s="22"/>
      <c r="E609" s="22"/>
      <c r="F609" s="22"/>
      <c r="G609" s="22"/>
      <c r="H609" s="22"/>
      <c r="I609" s="22"/>
      <c r="J609" s="22"/>
      <c r="K609" s="22"/>
      <c r="L609" s="22"/>
      <c r="M609" s="22"/>
      <c r="O609" s="3"/>
      <c r="V609" s="3"/>
      <c r="W609" s="3"/>
      <c r="X609" s="3"/>
      <c r="Y609" s="3"/>
      <c r="Z609" s="3"/>
    </row>
    <row r="610" spans="1:26" ht="12.75">
      <c r="A610" s="3"/>
      <c r="D610" s="22"/>
      <c r="E610" s="22"/>
      <c r="F610" s="22"/>
      <c r="G610" s="22"/>
      <c r="H610" s="22"/>
      <c r="I610" s="22"/>
      <c r="J610" s="22"/>
      <c r="K610" s="22"/>
      <c r="L610" s="22"/>
      <c r="M610" s="22"/>
      <c r="O610" s="3"/>
      <c r="V610" s="3"/>
      <c r="W610" s="3"/>
      <c r="X610" s="3"/>
      <c r="Y610" s="3"/>
      <c r="Z610" s="3"/>
    </row>
    <row r="611" spans="1:26" ht="12.75">
      <c r="A611" s="3"/>
      <c r="D611" s="22"/>
      <c r="E611" s="22"/>
      <c r="F611" s="22"/>
      <c r="G611" s="22"/>
      <c r="H611" s="22"/>
      <c r="I611" s="22"/>
      <c r="J611" s="22"/>
      <c r="K611" s="22"/>
      <c r="L611" s="22"/>
      <c r="M611" s="22"/>
      <c r="O611" s="3"/>
      <c r="V611" s="3"/>
      <c r="W611" s="3"/>
      <c r="X611" s="3"/>
      <c r="Y611" s="3"/>
      <c r="Z611" s="3"/>
    </row>
    <row r="612" spans="1:26" ht="12.75">
      <c r="A612" s="3"/>
      <c r="D612" s="22"/>
      <c r="E612" s="22"/>
      <c r="F612" s="22"/>
      <c r="G612" s="22"/>
      <c r="H612" s="22"/>
      <c r="I612" s="22"/>
      <c r="J612" s="22"/>
      <c r="K612" s="22"/>
      <c r="L612" s="22"/>
      <c r="M612" s="22"/>
      <c r="O612" s="3"/>
      <c r="V612" s="3"/>
      <c r="W612" s="3"/>
      <c r="X612" s="3"/>
      <c r="Y612" s="3"/>
      <c r="Z612" s="3"/>
    </row>
    <row r="613" spans="1:26" ht="12.75">
      <c r="A613" s="3"/>
      <c r="D613" s="22"/>
      <c r="E613" s="22"/>
      <c r="F613" s="22"/>
      <c r="G613" s="22"/>
      <c r="H613" s="22"/>
      <c r="I613" s="22"/>
      <c r="J613" s="22"/>
      <c r="K613" s="22"/>
      <c r="L613" s="22"/>
      <c r="M613" s="22"/>
      <c r="O613" s="3"/>
      <c r="V613" s="3"/>
      <c r="W613" s="3"/>
      <c r="X613" s="3"/>
      <c r="Y613" s="3"/>
      <c r="Z613" s="3"/>
    </row>
    <row r="614" spans="1:26" ht="12.75">
      <c r="A614" s="3"/>
      <c r="D614" s="22"/>
      <c r="E614" s="22"/>
      <c r="F614" s="22"/>
      <c r="G614" s="22"/>
      <c r="H614" s="22"/>
      <c r="I614" s="22"/>
      <c r="J614" s="22"/>
      <c r="K614" s="22"/>
      <c r="L614" s="22"/>
      <c r="M614" s="22"/>
      <c r="O614" s="3"/>
      <c r="V614" s="3"/>
      <c r="W614" s="3"/>
      <c r="X614" s="3"/>
      <c r="Y614" s="3"/>
      <c r="Z614" s="3"/>
    </row>
    <row r="615" spans="1:26" ht="12.75">
      <c r="A615" s="3"/>
      <c r="D615" s="22"/>
      <c r="E615" s="22"/>
      <c r="F615" s="22"/>
      <c r="G615" s="22"/>
      <c r="H615" s="22"/>
      <c r="I615" s="22"/>
      <c r="J615" s="22"/>
      <c r="K615" s="22"/>
      <c r="L615" s="22"/>
      <c r="M615" s="22"/>
      <c r="O615" s="3"/>
      <c r="V615" s="3"/>
      <c r="W615" s="3"/>
      <c r="X615" s="3"/>
      <c r="Y615" s="3"/>
      <c r="Z615" s="3"/>
    </row>
    <row r="616" spans="1:26" ht="12.75">
      <c r="A616" s="3"/>
      <c r="D616" s="22"/>
      <c r="E616" s="22"/>
      <c r="F616" s="22"/>
      <c r="G616" s="22"/>
      <c r="H616" s="22"/>
      <c r="I616" s="22"/>
      <c r="J616" s="22"/>
      <c r="K616" s="22"/>
      <c r="L616" s="22"/>
      <c r="M616" s="22"/>
      <c r="O616" s="3"/>
      <c r="V616" s="3"/>
      <c r="W616" s="3"/>
      <c r="X616" s="3"/>
      <c r="Y616" s="3"/>
      <c r="Z616" s="3"/>
    </row>
    <row r="617" spans="1:26" ht="12.75">
      <c r="A617" s="3"/>
      <c r="D617" s="22"/>
      <c r="E617" s="22"/>
      <c r="F617" s="22"/>
      <c r="G617" s="22"/>
      <c r="H617" s="22"/>
      <c r="I617" s="22"/>
      <c r="J617" s="22"/>
      <c r="K617" s="22"/>
      <c r="L617" s="22"/>
      <c r="M617" s="22"/>
      <c r="O617" s="3"/>
      <c r="V617" s="3"/>
      <c r="W617" s="3"/>
      <c r="X617" s="3"/>
      <c r="Y617" s="3"/>
      <c r="Z617" s="3"/>
    </row>
    <row r="618" spans="1:26" ht="12.75">
      <c r="A618" s="3"/>
      <c r="D618" s="22"/>
      <c r="E618" s="22"/>
      <c r="F618" s="22"/>
      <c r="G618" s="22"/>
      <c r="H618" s="22"/>
      <c r="I618" s="22"/>
      <c r="J618" s="22"/>
      <c r="K618" s="22"/>
      <c r="L618" s="22"/>
      <c r="M618" s="22"/>
      <c r="O618" s="3"/>
      <c r="V618" s="3"/>
      <c r="W618" s="3"/>
      <c r="X618" s="3"/>
      <c r="Y618" s="3"/>
      <c r="Z618" s="3"/>
    </row>
    <row r="619" spans="1:26" ht="12.75">
      <c r="A619" s="3"/>
      <c r="D619" s="22"/>
      <c r="E619" s="22"/>
      <c r="F619" s="22"/>
      <c r="G619" s="22"/>
      <c r="H619" s="22"/>
      <c r="I619" s="22"/>
      <c r="J619" s="22"/>
      <c r="K619" s="22"/>
      <c r="L619" s="22"/>
      <c r="M619" s="22"/>
      <c r="O619" s="3"/>
      <c r="V619" s="3"/>
      <c r="W619" s="3"/>
      <c r="X619" s="3"/>
      <c r="Y619" s="3"/>
      <c r="Z619" s="3"/>
    </row>
    <row r="620" spans="1:26" ht="12.75">
      <c r="A620" s="3"/>
      <c r="D620" s="22"/>
      <c r="E620" s="22"/>
      <c r="F620" s="22"/>
      <c r="G620" s="22"/>
      <c r="H620" s="22"/>
      <c r="I620" s="22"/>
      <c r="J620" s="22"/>
      <c r="K620" s="22"/>
      <c r="L620" s="22"/>
      <c r="M620" s="22"/>
      <c r="O620" s="3"/>
      <c r="V620" s="3"/>
      <c r="W620" s="3"/>
      <c r="X620" s="3"/>
      <c r="Y620" s="3"/>
      <c r="Z620" s="3"/>
    </row>
    <row r="621" spans="1:26" ht="12.75">
      <c r="A621" s="3"/>
      <c r="D621" s="22"/>
      <c r="E621" s="22"/>
      <c r="F621" s="22"/>
      <c r="G621" s="22"/>
      <c r="H621" s="22"/>
      <c r="I621" s="22"/>
      <c r="J621" s="22"/>
      <c r="K621" s="22"/>
      <c r="L621" s="22"/>
      <c r="M621" s="22"/>
      <c r="O621" s="3"/>
      <c r="V621" s="3"/>
      <c r="W621" s="3"/>
      <c r="X621" s="3"/>
      <c r="Y621" s="3"/>
      <c r="Z621" s="3"/>
    </row>
    <row r="622" spans="1:26" ht="12.75">
      <c r="A622" s="3"/>
      <c r="D622" s="22"/>
      <c r="E622" s="22"/>
      <c r="F622" s="22"/>
      <c r="G622" s="22"/>
      <c r="H622" s="22"/>
      <c r="I622" s="22"/>
      <c r="J622" s="22"/>
      <c r="K622" s="22"/>
      <c r="L622" s="22"/>
      <c r="M622" s="22"/>
      <c r="O622" s="3"/>
      <c r="V622" s="3"/>
      <c r="W622" s="3"/>
      <c r="X622" s="3"/>
      <c r="Y622" s="3"/>
      <c r="Z622" s="3"/>
    </row>
    <row r="623" spans="1:26" ht="12.75">
      <c r="A623" s="3"/>
      <c r="D623" s="22"/>
      <c r="E623" s="22"/>
      <c r="F623" s="22"/>
      <c r="G623" s="22"/>
      <c r="H623" s="22"/>
      <c r="I623" s="22"/>
      <c r="J623" s="22"/>
      <c r="K623" s="22"/>
      <c r="L623" s="22"/>
      <c r="M623" s="22"/>
      <c r="O623" s="3"/>
      <c r="V623" s="3"/>
      <c r="W623" s="3"/>
      <c r="X623" s="3"/>
      <c r="Y623" s="3"/>
      <c r="Z623" s="3"/>
    </row>
    <row r="624" spans="1:26" ht="12.75">
      <c r="A624" s="3"/>
      <c r="D624" s="22"/>
      <c r="E624" s="22"/>
      <c r="F624" s="22"/>
      <c r="G624" s="22"/>
      <c r="H624" s="22"/>
      <c r="I624" s="22"/>
      <c r="J624" s="22"/>
      <c r="K624" s="22"/>
      <c r="L624" s="22"/>
      <c r="M624" s="22"/>
      <c r="O624" s="3"/>
      <c r="V624" s="3"/>
      <c r="W624" s="3"/>
      <c r="X624" s="3"/>
      <c r="Y624" s="3"/>
      <c r="Z624" s="3"/>
    </row>
    <row r="625" spans="1:26" ht="12.75">
      <c r="A625" s="3"/>
      <c r="D625" s="22"/>
      <c r="E625" s="22"/>
      <c r="F625" s="22"/>
      <c r="G625" s="22"/>
      <c r="H625" s="22"/>
      <c r="I625" s="22"/>
      <c r="J625" s="22"/>
      <c r="K625" s="22"/>
      <c r="L625" s="22"/>
      <c r="M625" s="22"/>
      <c r="O625" s="3"/>
      <c r="V625" s="3"/>
      <c r="W625" s="3"/>
      <c r="X625" s="3"/>
      <c r="Y625" s="3"/>
      <c r="Z625" s="3"/>
    </row>
    <row r="626" spans="1:26" ht="12.75">
      <c r="A626" s="3"/>
      <c r="D626" s="22"/>
      <c r="E626" s="22"/>
      <c r="F626" s="22"/>
      <c r="G626" s="22"/>
      <c r="H626" s="22"/>
      <c r="I626" s="22"/>
      <c r="J626" s="22"/>
      <c r="K626" s="22"/>
      <c r="L626" s="22"/>
      <c r="M626" s="22"/>
      <c r="O626" s="3"/>
      <c r="V626" s="3"/>
      <c r="W626" s="3"/>
      <c r="X626" s="3"/>
      <c r="Y626" s="3"/>
      <c r="Z626" s="3"/>
    </row>
    <row r="627" spans="1:26" ht="12.75">
      <c r="A627" s="3"/>
      <c r="D627" s="22"/>
      <c r="E627" s="22"/>
      <c r="F627" s="22"/>
      <c r="G627" s="22"/>
      <c r="H627" s="22"/>
      <c r="I627" s="22"/>
      <c r="J627" s="22"/>
      <c r="K627" s="22"/>
      <c r="L627" s="22"/>
      <c r="M627" s="22"/>
      <c r="O627" s="3"/>
      <c r="V627" s="3"/>
      <c r="W627" s="3"/>
      <c r="X627" s="3"/>
      <c r="Y627" s="3"/>
      <c r="Z627" s="3"/>
    </row>
    <row r="628" spans="1:26" ht="12.75">
      <c r="A628" s="3"/>
      <c r="D628" s="22"/>
      <c r="E628" s="22"/>
      <c r="F628" s="22"/>
      <c r="G628" s="22"/>
      <c r="H628" s="22"/>
      <c r="I628" s="22"/>
      <c r="J628" s="22"/>
      <c r="K628" s="22"/>
      <c r="L628" s="22"/>
      <c r="M628" s="22"/>
      <c r="O628" s="3"/>
      <c r="V628" s="3"/>
      <c r="W628" s="3"/>
      <c r="X628" s="3"/>
      <c r="Y628" s="3"/>
      <c r="Z628" s="3"/>
    </row>
    <row r="629" spans="1:26" ht="12.75">
      <c r="A629" s="3"/>
      <c r="D629" s="22"/>
      <c r="E629" s="22"/>
      <c r="F629" s="22"/>
      <c r="G629" s="22"/>
      <c r="H629" s="22"/>
      <c r="I629" s="22"/>
      <c r="J629" s="22"/>
      <c r="K629" s="22"/>
      <c r="L629" s="22"/>
      <c r="M629" s="22"/>
      <c r="O629" s="3"/>
      <c r="V629" s="3"/>
      <c r="W629" s="3"/>
      <c r="X629" s="3"/>
      <c r="Y629" s="3"/>
      <c r="Z629" s="3"/>
    </row>
    <row r="630" spans="1:26" ht="12.75">
      <c r="A630" s="3"/>
      <c r="D630" s="22"/>
      <c r="E630" s="22"/>
      <c r="F630" s="22"/>
      <c r="G630" s="22"/>
      <c r="H630" s="22"/>
      <c r="I630" s="22"/>
      <c r="J630" s="22"/>
      <c r="K630" s="22"/>
      <c r="L630" s="22"/>
      <c r="M630" s="22"/>
      <c r="O630" s="3"/>
      <c r="V630" s="3"/>
      <c r="W630" s="3"/>
      <c r="X630" s="3"/>
      <c r="Y630" s="3"/>
      <c r="Z630" s="3"/>
    </row>
    <row r="631" spans="1:26" ht="12.75">
      <c r="A631" s="3"/>
      <c r="D631" s="22"/>
      <c r="E631" s="22"/>
      <c r="F631" s="22"/>
      <c r="G631" s="22"/>
      <c r="H631" s="22"/>
      <c r="I631" s="22"/>
      <c r="J631" s="22"/>
      <c r="K631" s="22"/>
      <c r="L631" s="22"/>
      <c r="M631" s="22"/>
      <c r="O631" s="3"/>
      <c r="V631" s="3"/>
      <c r="W631" s="3"/>
      <c r="X631" s="3"/>
      <c r="Y631" s="3"/>
      <c r="Z631" s="3"/>
    </row>
    <row r="632" spans="1:26" ht="12.75">
      <c r="A632" s="3"/>
      <c r="D632" s="22"/>
      <c r="E632" s="22"/>
      <c r="F632" s="22"/>
      <c r="G632" s="22"/>
      <c r="H632" s="22"/>
      <c r="I632" s="22"/>
      <c r="J632" s="22"/>
      <c r="K632" s="22"/>
      <c r="L632" s="22"/>
      <c r="M632" s="22"/>
      <c r="O632" s="3"/>
      <c r="V632" s="3"/>
      <c r="W632" s="3"/>
      <c r="X632" s="3"/>
      <c r="Y632" s="3"/>
      <c r="Z632" s="3"/>
    </row>
    <row r="633" spans="1:26" ht="12.75">
      <c r="A633" s="3"/>
      <c r="D633" s="22"/>
      <c r="E633" s="22"/>
      <c r="F633" s="22"/>
      <c r="G633" s="22"/>
      <c r="H633" s="22"/>
      <c r="I633" s="22"/>
      <c r="J633" s="22"/>
      <c r="K633" s="22"/>
      <c r="L633" s="22"/>
      <c r="M633" s="22"/>
      <c r="O633" s="3"/>
      <c r="V633" s="3"/>
      <c r="W633" s="3"/>
      <c r="X633" s="3"/>
      <c r="Y633" s="3"/>
      <c r="Z633" s="3"/>
    </row>
    <row r="634" spans="1:26" ht="12.75">
      <c r="A634" s="3"/>
      <c r="D634" s="22"/>
      <c r="E634" s="22"/>
      <c r="F634" s="22"/>
      <c r="G634" s="22"/>
      <c r="H634" s="22"/>
      <c r="I634" s="22"/>
      <c r="J634" s="22"/>
      <c r="K634" s="22"/>
      <c r="L634" s="22"/>
      <c r="M634" s="22"/>
      <c r="O634" s="3"/>
      <c r="V634" s="3"/>
      <c r="W634" s="3"/>
      <c r="X634" s="3"/>
      <c r="Y634" s="3"/>
      <c r="Z634" s="3"/>
    </row>
    <row r="635" spans="1:26" ht="12.75">
      <c r="A635" s="3"/>
      <c r="D635" s="22"/>
      <c r="E635" s="22"/>
      <c r="F635" s="22"/>
      <c r="G635" s="22"/>
      <c r="H635" s="22"/>
      <c r="I635" s="22"/>
      <c r="J635" s="22"/>
      <c r="K635" s="22"/>
      <c r="L635" s="22"/>
      <c r="M635" s="22"/>
      <c r="O635" s="3"/>
      <c r="V635" s="3"/>
      <c r="W635" s="3"/>
      <c r="X635" s="3"/>
      <c r="Y635" s="3"/>
      <c r="Z635" s="3"/>
    </row>
    <row r="636" spans="1:26" ht="12.75">
      <c r="A636" s="3"/>
      <c r="D636" s="22"/>
      <c r="E636" s="22"/>
      <c r="F636" s="22"/>
      <c r="G636" s="22"/>
      <c r="H636" s="22"/>
      <c r="I636" s="22"/>
      <c r="J636" s="22"/>
      <c r="K636" s="22"/>
      <c r="L636" s="22"/>
      <c r="M636" s="22"/>
      <c r="O636" s="3"/>
      <c r="V636" s="3"/>
      <c r="W636" s="3"/>
      <c r="X636" s="3"/>
      <c r="Y636" s="3"/>
      <c r="Z636" s="3"/>
    </row>
    <row r="637" spans="1:26" ht="12.75">
      <c r="A637" s="3"/>
      <c r="D637" s="22"/>
      <c r="E637" s="22"/>
      <c r="F637" s="22"/>
      <c r="G637" s="22"/>
      <c r="H637" s="22"/>
      <c r="I637" s="22"/>
      <c r="J637" s="22"/>
      <c r="K637" s="22"/>
      <c r="L637" s="22"/>
      <c r="M637" s="22"/>
      <c r="O637" s="3"/>
      <c r="V637" s="3"/>
      <c r="W637" s="3"/>
      <c r="X637" s="3"/>
      <c r="Y637" s="3"/>
      <c r="Z637" s="3"/>
    </row>
    <row r="638" spans="1:26" ht="12.75">
      <c r="A638" s="3"/>
      <c r="D638" s="22"/>
      <c r="E638" s="22"/>
      <c r="F638" s="22"/>
      <c r="G638" s="22"/>
      <c r="H638" s="22"/>
      <c r="I638" s="22"/>
      <c r="J638" s="22"/>
      <c r="K638" s="22"/>
      <c r="L638" s="22"/>
      <c r="M638" s="22"/>
      <c r="O638" s="3"/>
      <c r="V638" s="3"/>
      <c r="W638" s="3"/>
      <c r="X638" s="3"/>
      <c r="Y638" s="3"/>
      <c r="Z638" s="3"/>
    </row>
    <row r="639" spans="1:26" ht="12.75">
      <c r="A639" s="3"/>
      <c r="D639" s="22"/>
      <c r="E639" s="22"/>
      <c r="F639" s="22"/>
      <c r="G639" s="22"/>
      <c r="H639" s="22"/>
      <c r="I639" s="22"/>
      <c r="J639" s="22"/>
      <c r="K639" s="22"/>
      <c r="L639" s="22"/>
      <c r="M639" s="22"/>
      <c r="O639" s="3"/>
      <c r="V639" s="3"/>
      <c r="W639" s="3"/>
      <c r="X639" s="3"/>
      <c r="Y639" s="3"/>
      <c r="Z639" s="3"/>
    </row>
    <row r="640" spans="1:26" ht="12.75">
      <c r="A640" s="3"/>
      <c r="D640" s="22"/>
      <c r="E640" s="22"/>
      <c r="F640" s="22"/>
      <c r="G640" s="22"/>
      <c r="H640" s="22"/>
      <c r="I640" s="22"/>
      <c r="J640" s="22"/>
      <c r="K640" s="22"/>
      <c r="L640" s="22"/>
      <c r="M640" s="22"/>
      <c r="O640" s="3"/>
      <c r="V640" s="3"/>
      <c r="W640" s="3"/>
      <c r="X640" s="3"/>
      <c r="Y640" s="3"/>
      <c r="Z640" s="3"/>
    </row>
    <row r="641" spans="1:26" ht="12.75">
      <c r="A641" s="3"/>
      <c r="D641" s="22"/>
      <c r="E641" s="22"/>
      <c r="F641" s="22"/>
      <c r="G641" s="22"/>
      <c r="H641" s="22"/>
      <c r="I641" s="22"/>
      <c r="J641" s="22"/>
      <c r="K641" s="22"/>
      <c r="L641" s="22"/>
      <c r="M641" s="22"/>
      <c r="O641" s="3"/>
      <c r="V641" s="3"/>
      <c r="W641" s="3"/>
      <c r="X641" s="3"/>
      <c r="Y641" s="3"/>
      <c r="Z641" s="3"/>
    </row>
    <row r="642" spans="1:26" ht="12.75">
      <c r="A642" s="3"/>
      <c r="D642" s="22"/>
      <c r="E642" s="22"/>
      <c r="F642" s="22"/>
      <c r="G642" s="22"/>
      <c r="H642" s="22"/>
      <c r="I642" s="22"/>
      <c r="J642" s="22"/>
      <c r="K642" s="22"/>
      <c r="L642" s="22"/>
      <c r="M642" s="22"/>
      <c r="O642" s="3"/>
      <c r="V642" s="3"/>
      <c r="W642" s="3"/>
      <c r="X642" s="3"/>
      <c r="Y642" s="3"/>
      <c r="Z642" s="3"/>
    </row>
    <row r="643" spans="1:26" ht="12.75">
      <c r="A643" s="3"/>
      <c r="D643" s="22"/>
      <c r="E643" s="22"/>
      <c r="F643" s="22"/>
      <c r="G643" s="22"/>
      <c r="H643" s="22"/>
      <c r="I643" s="22"/>
      <c r="J643" s="22"/>
      <c r="K643" s="22"/>
      <c r="L643" s="22"/>
      <c r="M643" s="22"/>
      <c r="O643" s="3"/>
      <c r="V643" s="3"/>
      <c r="W643" s="3"/>
      <c r="X643" s="3"/>
      <c r="Y643" s="3"/>
      <c r="Z643" s="3"/>
    </row>
    <row r="644" spans="1:26" ht="12.75">
      <c r="A644" s="3"/>
      <c r="D644" s="22"/>
      <c r="E644" s="22"/>
      <c r="F644" s="22"/>
      <c r="G644" s="22"/>
      <c r="H644" s="22"/>
      <c r="I644" s="22"/>
      <c r="J644" s="22"/>
      <c r="K644" s="22"/>
      <c r="L644" s="22"/>
      <c r="M644" s="22"/>
      <c r="O644" s="3"/>
      <c r="V644" s="3"/>
      <c r="W644" s="3"/>
      <c r="X644" s="3"/>
      <c r="Y644" s="3"/>
      <c r="Z644" s="3"/>
    </row>
    <row r="645" spans="1:26" ht="12.75">
      <c r="A645" s="3"/>
      <c r="D645" s="22"/>
      <c r="E645" s="22"/>
      <c r="F645" s="22"/>
      <c r="G645" s="22"/>
      <c r="H645" s="22"/>
      <c r="I645" s="22"/>
      <c r="J645" s="22"/>
      <c r="K645" s="22"/>
      <c r="L645" s="22"/>
      <c r="M645" s="22"/>
      <c r="O645" s="3"/>
      <c r="V645" s="3"/>
      <c r="W645" s="3"/>
      <c r="X645" s="3"/>
      <c r="Y645" s="3"/>
      <c r="Z645" s="3"/>
    </row>
    <row r="646" spans="1:26" ht="12.75">
      <c r="A646" s="3"/>
      <c r="D646" s="22"/>
      <c r="E646" s="22"/>
      <c r="F646" s="22"/>
      <c r="G646" s="22"/>
      <c r="H646" s="22"/>
      <c r="I646" s="22"/>
      <c r="J646" s="22"/>
      <c r="K646" s="22"/>
      <c r="L646" s="22"/>
      <c r="M646" s="22"/>
      <c r="O646" s="3"/>
      <c r="V646" s="3"/>
      <c r="W646" s="3"/>
      <c r="X646" s="3"/>
      <c r="Y646" s="3"/>
      <c r="Z646" s="3"/>
    </row>
    <row r="647" spans="1:26" ht="12.75">
      <c r="A647" s="3"/>
      <c r="D647" s="22"/>
      <c r="E647" s="22"/>
      <c r="F647" s="22"/>
      <c r="G647" s="22"/>
      <c r="H647" s="22"/>
      <c r="I647" s="22"/>
      <c r="J647" s="22"/>
      <c r="K647" s="22"/>
      <c r="L647" s="22"/>
      <c r="M647" s="22"/>
      <c r="O647" s="3"/>
      <c r="V647" s="3"/>
      <c r="W647" s="3"/>
      <c r="X647" s="3"/>
      <c r="Y647" s="3"/>
      <c r="Z647" s="3"/>
    </row>
    <row r="648" spans="1:26" ht="12.75">
      <c r="A648" s="3"/>
      <c r="D648" s="22"/>
      <c r="E648" s="22"/>
      <c r="F648" s="22"/>
      <c r="G648" s="22"/>
      <c r="H648" s="22"/>
      <c r="I648" s="22"/>
      <c r="J648" s="22"/>
      <c r="K648" s="22"/>
      <c r="L648" s="22"/>
      <c r="M648" s="22"/>
      <c r="O648" s="3"/>
      <c r="V648" s="3"/>
      <c r="W648" s="3"/>
      <c r="X648" s="3"/>
      <c r="Y648" s="3"/>
      <c r="Z648" s="3"/>
    </row>
    <row r="649" spans="1:26" ht="12.75">
      <c r="A649" s="3"/>
      <c r="D649" s="22"/>
      <c r="E649" s="22"/>
      <c r="F649" s="22"/>
      <c r="G649" s="22"/>
      <c r="H649" s="22"/>
      <c r="I649" s="22"/>
      <c r="J649" s="22"/>
      <c r="K649" s="22"/>
      <c r="L649" s="22"/>
      <c r="M649" s="22"/>
      <c r="O649" s="3"/>
      <c r="V649" s="3"/>
      <c r="W649" s="3"/>
      <c r="X649" s="3"/>
      <c r="Y649" s="3"/>
      <c r="Z649" s="3"/>
    </row>
    <row r="650" spans="1:26" ht="12.75">
      <c r="A650" s="3"/>
      <c r="D650" s="22"/>
      <c r="E650" s="22"/>
      <c r="F650" s="22"/>
      <c r="G650" s="22"/>
      <c r="H650" s="22"/>
      <c r="I650" s="22"/>
      <c r="J650" s="22"/>
      <c r="K650" s="22"/>
      <c r="L650" s="22"/>
      <c r="M650" s="22"/>
      <c r="O650" s="3"/>
      <c r="V650" s="3"/>
      <c r="W650" s="3"/>
      <c r="X650" s="3"/>
      <c r="Y650" s="3"/>
      <c r="Z650" s="3"/>
    </row>
    <row r="651" spans="1:26" ht="12.75">
      <c r="A651" s="3"/>
      <c r="D651" s="22"/>
      <c r="E651" s="22"/>
      <c r="F651" s="22"/>
      <c r="G651" s="22"/>
      <c r="H651" s="22"/>
      <c r="I651" s="22"/>
      <c r="J651" s="22"/>
      <c r="K651" s="22"/>
      <c r="L651" s="22"/>
      <c r="M651" s="22"/>
      <c r="O651" s="3"/>
      <c r="V651" s="3"/>
      <c r="W651" s="3"/>
      <c r="X651" s="3"/>
      <c r="Y651" s="3"/>
      <c r="Z651" s="3"/>
    </row>
    <row r="652" spans="1:26" ht="12.75">
      <c r="A652" s="3"/>
      <c r="D652" s="22"/>
      <c r="E652" s="22"/>
      <c r="F652" s="22"/>
      <c r="G652" s="22"/>
      <c r="H652" s="22"/>
      <c r="I652" s="22"/>
      <c r="J652" s="22"/>
      <c r="K652" s="22"/>
      <c r="L652" s="22"/>
      <c r="M652" s="22"/>
      <c r="O652" s="3"/>
      <c r="V652" s="3"/>
      <c r="W652" s="3"/>
      <c r="X652" s="3"/>
      <c r="Y652" s="3"/>
      <c r="Z652" s="3"/>
    </row>
    <row r="653" spans="1:26" ht="12.75">
      <c r="A653" s="3"/>
      <c r="D653" s="22"/>
      <c r="E653" s="22"/>
      <c r="F653" s="22"/>
      <c r="G653" s="22"/>
      <c r="H653" s="22"/>
      <c r="I653" s="22"/>
      <c r="J653" s="22"/>
      <c r="K653" s="22"/>
      <c r="L653" s="22"/>
      <c r="M653" s="22"/>
      <c r="O653" s="3"/>
      <c r="V653" s="3"/>
      <c r="W653" s="3"/>
      <c r="X653" s="3"/>
      <c r="Y653" s="3"/>
      <c r="Z653" s="3"/>
    </row>
    <row r="654" spans="1:26" ht="12.75">
      <c r="A654" s="3"/>
      <c r="D654" s="22"/>
      <c r="E654" s="22"/>
      <c r="F654" s="22"/>
      <c r="G654" s="22"/>
      <c r="H654" s="22"/>
      <c r="I654" s="22"/>
      <c r="J654" s="22"/>
      <c r="K654" s="22"/>
      <c r="L654" s="22"/>
      <c r="M654" s="22"/>
      <c r="O654" s="3"/>
      <c r="V654" s="3"/>
      <c r="W654" s="3"/>
      <c r="X654" s="3"/>
      <c r="Y654" s="3"/>
      <c r="Z654" s="3"/>
    </row>
    <row r="655" spans="1:26" ht="12.75">
      <c r="A655" s="3"/>
      <c r="D655" s="22"/>
      <c r="E655" s="22"/>
      <c r="F655" s="22"/>
      <c r="G655" s="22"/>
      <c r="H655" s="22"/>
      <c r="I655" s="22"/>
      <c r="J655" s="22"/>
      <c r="K655" s="22"/>
      <c r="L655" s="22"/>
      <c r="M655" s="22"/>
      <c r="O655" s="3"/>
      <c r="V655" s="3"/>
      <c r="W655" s="3"/>
      <c r="X655" s="3"/>
      <c r="Y655" s="3"/>
      <c r="Z655" s="3"/>
    </row>
    <row r="656" spans="1:26" ht="12.75">
      <c r="A656" s="3"/>
      <c r="D656" s="22"/>
      <c r="E656" s="22"/>
      <c r="F656" s="22"/>
      <c r="G656" s="22"/>
      <c r="H656" s="22"/>
      <c r="I656" s="22"/>
      <c r="J656" s="22"/>
      <c r="K656" s="22"/>
      <c r="L656" s="22"/>
      <c r="M656" s="22"/>
      <c r="O656" s="3"/>
      <c r="V656" s="3"/>
      <c r="W656" s="3"/>
      <c r="X656" s="3"/>
      <c r="Y656" s="3"/>
      <c r="Z656" s="3"/>
    </row>
    <row r="657" spans="1:26" ht="12.75">
      <c r="A657" s="3"/>
      <c r="D657" s="22"/>
      <c r="E657" s="22"/>
      <c r="F657" s="22"/>
      <c r="G657" s="22"/>
      <c r="H657" s="22"/>
      <c r="I657" s="22"/>
      <c r="J657" s="22"/>
      <c r="K657" s="22"/>
      <c r="L657" s="22"/>
      <c r="M657" s="22"/>
      <c r="O657" s="3"/>
      <c r="V657" s="3"/>
      <c r="W657" s="3"/>
      <c r="X657" s="3"/>
      <c r="Y657" s="3"/>
      <c r="Z657" s="3"/>
    </row>
    <row r="658" spans="1:26" ht="12.75">
      <c r="A658" s="3"/>
      <c r="D658" s="22"/>
      <c r="E658" s="22"/>
      <c r="F658" s="22"/>
      <c r="G658" s="22"/>
      <c r="H658" s="22"/>
      <c r="I658" s="22"/>
      <c r="J658" s="22"/>
      <c r="K658" s="22"/>
      <c r="L658" s="22"/>
      <c r="M658" s="22"/>
      <c r="O658" s="3"/>
      <c r="V658" s="3"/>
      <c r="W658" s="3"/>
      <c r="X658" s="3"/>
      <c r="Y658" s="3"/>
      <c r="Z658" s="3"/>
    </row>
    <row r="659" spans="1:26" ht="12.75">
      <c r="A659" s="3"/>
      <c r="D659" s="22"/>
      <c r="E659" s="22"/>
      <c r="F659" s="22"/>
      <c r="G659" s="22"/>
      <c r="H659" s="22"/>
      <c r="I659" s="22"/>
      <c r="J659" s="22"/>
      <c r="K659" s="22"/>
      <c r="L659" s="22"/>
      <c r="M659" s="22"/>
      <c r="O659" s="3"/>
      <c r="V659" s="3"/>
      <c r="W659" s="3"/>
      <c r="X659" s="3"/>
      <c r="Y659" s="3"/>
      <c r="Z659" s="3"/>
    </row>
    <row r="660" spans="1:26" ht="12.75">
      <c r="A660" s="3"/>
      <c r="D660" s="22"/>
      <c r="E660" s="22"/>
      <c r="F660" s="22"/>
      <c r="G660" s="22"/>
      <c r="H660" s="22"/>
      <c r="I660" s="22"/>
      <c r="J660" s="22"/>
      <c r="K660" s="22"/>
      <c r="L660" s="22"/>
      <c r="M660" s="22"/>
      <c r="O660" s="3"/>
      <c r="V660" s="3"/>
      <c r="W660" s="3"/>
      <c r="X660" s="3"/>
      <c r="Y660" s="3"/>
      <c r="Z660" s="3"/>
    </row>
    <row r="661" spans="1:26" ht="12.75">
      <c r="A661" s="3"/>
      <c r="D661" s="22"/>
      <c r="E661" s="22"/>
      <c r="F661" s="22"/>
      <c r="G661" s="22"/>
      <c r="H661" s="22"/>
      <c r="I661" s="22"/>
      <c r="J661" s="22"/>
      <c r="K661" s="22"/>
      <c r="L661" s="22"/>
      <c r="M661" s="22"/>
      <c r="O661" s="3"/>
      <c r="V661" s="3"/>
      <c r="W661" s="3"/>
      <c r="X661" s="3"/>
      <c r="Y661" s="3"/>
      <c r="Z661" s="3"/>
    </row>
    <row r="662" spans="1:26" ht="12.75">
      <c r="A662" s="3"/>
      <c r="D662" s="22"/>
      <c r="E662" s="22"/>
      <c r="F662" s="22"/>
      <c r="G662" s="22"/>
      <c r="H662" s="22"/>
      <c r="I662" s="22"/>
      <c r="J662" s="22"/>
      <c r="K662" s="22"/>
      <c r="L662" s="22"/>
      <c r="M662" s="22"/>
      <c r="O662" s="3"/>
      <c r="V662" s="3"/>
      <c r="W662" s="3"/>
      <c r="X662" s="3"/>
      <c r="Y662" s="3"/>
      <c r="Z662" s="3"/>
    </row>
    <row r="663" spans="1:26" ht="12.75">
      <c r="A663" s="3"/>
      <c r="D663" s="22"/>
      <c r="E663" s="22"/>
      <c r="F663" s="22"/>
      <c r="G663" s="22"/>
      <c r="H663" s="22"/>
      <c r="I663" s="22"/>
      <c r="J663" s="22"/>
      <c r="K663" s="22"/>
      <c r="L663" s="22"/>
      <c r="M663" s="22"/>
      <c r="O663" s="3"/>
      <c r="V663" s="3"/>
      <c r="W663" s="3"/>
      <c r="X663" s="3"/>
      <c r="Y663" s="3"/>
      <c r="Z663" s="3"/>
    </row>
    <row r="664" spans="1:26" ht="12.75">
      <c r="A664" s="3"/>
      <c r="D664" s="22"/>
      <c r="E664" s="22"/>
      <c r="F664" s="22"/>
      <c r="G664" s="22"/>
      <c r="H664" s="22"/>
      <c r="I664" s="22"/>
      <c r="J664" s="22"/>
      <c r="K664" s="22"/>
      <c r="L664" s="22"/>
      <c r="M664" s="22"/>
      <c r="O664" s="3"/>
      <c r="V664" s="3"/>
      <c r="W664" s="3"/>
      <c r="X664" s="3"/>
      <c r="Y664" s="3"/>
      <c r="Z664" s="3"/>
    </row>
    <row r="665" spans="1:26" ht="12.75">
      <c r="A665" s="3"/>
      <c r="D665" s="22"/>
      <c r="E665" s="22"/>
      <c r="F665" s="22"/>
      <c r="G665" s="22"/>
      <c r="H665" s="22"/>
      <c r="I665" s="22"/>
      <c r="J665" s="22"/>
      <c r="K665" s="22"/>
      <c r="L665" s="22"/>
      <c r="M665" s="22"/>
      <c r="O665" s="3"/>
      <c r="V665" s="3"/>
      <c r="W665" s="3"/>
      <c r="X665" s="3"/>
      <c r="Y665" s="3"/>
      <c r="Z665" s="3"/>
    </row>
    <row r="666" spans="1:26" ht="12.75">
      <c r="A666" s="3"/>
      <c r="D666" s="22"/>
      <c r="E666" s="22"/>
      <c r="F666" s="22"/>
      <c r="G666" s="22"/>
      <c r="H666" s="22"/>
      <c r="I666" s="22"/>
      <c r="J666" s="22"/>
      <c r="K666" s="22"/>
      <c r="L666" s="22"/>
      <c r="M666" s="22"/>
      <c r="O666" s="3"/>
      <c r="V666" s="3"/>
      <c r="W666" s="3"/>
      <c r="X666" s="3"/>
      <c r="Y666" s="3"/>
      <c r="Z666" s="3"/>
    </row>
    <row r="667" spans="1:26" ht="12.75">
      <c r="A667" s="3"/>
      <c r="D667" s="22"/>
      <c r="E667" s="22"/>
      <c r="F667" s="22"/>
      <c r="G667" s="22"/>
      <c r="H667" s="22"/>
      <c r="I667" s="22"/>
      <c r="J667" s="22"/>
      <c r="K667" s="22"/>
      <c r="L667" s="22"/>
      <c r="M667" s="22"/>
      <c r="O667" s="3"/>
      <c r="V667" s="3"/>
      <c r="W667" s="3"/>
      <c r="X667" s="3"/>
      <c r="Y667" s="3"/>
      <c r="Z667" s="3"/>
    </row>
    <row r="668" spans="1:26" ht="12.75">
      <c r="A668" s="3"/>
      <c r="D668" s="22"/>
      <c r="E668" s="22"/>
      <c r="F668" s="22"/>
      <c r="G668" s="22"/>
      <c r="H668" s="22"/>
      <c r="I668" s="22"/>
      <c r="J668" s="22"/>
      <c r="K668" s="22"/>
      <c r="L668" s="22"/>
      <c r="M668" s="22"/>
      <c r="O668" s="3"/>
      <c r="V668" s="3"/>
      <c r="W668" s="3"/>
      <c r="X668" s="3"/>
      <c r="Y668" s="3"/>
      <c r="Z668" s="3"/>
    </row>
    <row r="669" spans="1:26" ht="12.75">
      <c r="A669" s="3"/>
      <c r="D669" s="22"/>
      <c r="E669" s="22"/>
      <c r="F669" s="22"/>
      <c r="G669" s="22"/>
      <c r="H669" s="22"/>
      <c r="I669" s="22"/>
      <c r="J669" s="22"/>
      <c r="K669" s="22"/>
      <c r="L669" s="22"/>
      <c r="M669" s="22"/>
      <c r="O669" s="3"/>
      <c r="V669" s="3"/>
      <c r="W669" s="3"/>
      <c r="X669" s="3"/>
      <c r="Y669" s="3"/>
      <c r="Z669" s="3"/>
    </row>
    <row r="670" spans="1:26" ht="12.75">
      <c r="A670" s="3"/>
      <c r="D670" s="22"/>
      <c r="E670" s="22"/>
      <c r="F670" s="22"/>
      <c r="G670" s="22"/>
      <c r="H670" s="22"/>
      <c r="I670" s="22"/>
      <c r="J670" s="22"/>
      <c r="K670" s="22"/>
      <c r="L670" s="22"/>
      <c r="M670" s="22"/>
      <c r="O670" s="3"/>
      <c r="V670" s="3"/>
      <c r="W670" s="3"/>
      <c r="X670" s="3"/>
      <c r="Y670" s="3"/>
      <c r="Z670" s="3"/>
    </row>
    <row r="671" spans="1:26" ht="12.75">
      <c r="A671" s="3"/>
      <c r="D671" s="22"/>
      <c r="E671" s="22"/>
      <c r="F671" s="22"/>
      <c r="G671" s="22"/>
      <c r="H671" s="22"/>
      <c r="I671" s="22"/>
      <c r="J671" s="22"/>
      <c r="K671" s="22"/>
      <c r="L671" s="22"/>
      <c r="M671" s="22"/>
      <c r="O671" s="3"/>
      <c r="V671" s="3"/>
      <c r="W671" s="3"/>
      <c r="X671" s="3"/>
      <c r="Y671" s="3"/>
      <c r="Z671" s="3"/>
    </row>
    <row r="672" spans="1:26" ht="12.75">
      <c r="A672" s="3"/>
      <c r="D672" s="22"/>
      <c r="E672" s="22"/>
      <c r="F672" s="22"/>
      <c r="G672" s="22"/>
      <c r="H672" s="22"/>
      <c r="I672" s="22"/>
      <c r="J672" s="22"/>
      <c r="K672" s="22"/>
      <c r="L672" s="22"/>
      <c r="M672" s="22"/>
      <c r="O672" s="3"/>
      <c r="V672" s="3"/>
      <c r="W672" s="3"/>
      <c r="X672" s="3"/>
      <c r="Y672" s="3"/>
      <c r="Z672" s="3"/>
    </row>
    <row r="673" spans="1:26" ht="12.75">
      <c r="A673" s="3"/>
      <c r="D673" s="22"/>
      <c r="E673" s="22"/>
      <c r="F673" s="22"/>
      <c r="G673" s="22"/>
      <c r="H673" s="22"/>
      <c r="I673" s="22"/>
      <c r="J673" s="22"/>
      <c r="K673" s="22"/>
      <c r="L673" s="22"/>
      <c r="M673" s="22"/>
      <c r="O673" s="3"/>
      <c r="V673" s="3"/>
      <c r="W673" s="3"/>
      <c r="X673" s="3"/>
      <c r="Y673" s="3"/>
      <c r="Z673" s="3"/>
    </row>
    <row r="674" spans="1:26" ht="12.75">
      <c r="A674" s="3"/>
      <c r="D674" s="22"/>
      <c r="E674" s="22"/>
      <c r="F674" s="22"/>
      <c r="G674" s="22"/>
      <c r="H674" s="22"/>
      <c r="I674" s="22"/>
      <c r="J674" s="22"/>
      <c r="K674" s="22"/>
      <c r="L674" s="22"/>
      <c r="M674" s="22"/>
      <c r="O674" s="3"/>
      <c r="V674" s="3"/>
      <c r="W674" s="3"/>
      <c r="X674" s="3"/>
      <c r="Y674" s="3"/>
      <c r="Z674" s="3"/>
    </row>
    <row r="675" spans="1:26" ht="12.75">
      <c r="A675" s="3"/>
      <c r="D675" s="22"/>
      <c r="E675" s="22"/>
      <c r="F675" s="22"/>
      <c r="G675" s="22"/>
      <c r="H675" s="22"/>
      <c r="I675" s="22"/>
      <c r="J675" s="22"/>
      <c r="K675" s="22"/>
      <c r="L675" s="22"/>
      <c r="M675" s="22"/>
      <c r="O675" s="3"/>
      <c r="V675" s="3"/>
      <c r="W675" s="3"/>
      <c r="X675" s="3"/>
      <c r="Y675" s="3"/>
      <c r="Z675" s="3"/>
    </row>
    <row r="676" spans="1:26" ht="12.75">
      <c r="A676" s="3"/>
      <c r="D676" s="22"/>
      <c r="E676" s="22"/>
      <c r="F676" s="22"/>
      <c r="G676" s="22"/>
      <c r="H676" s="22"/>
      <c r="I676" s="22"/>
      <c r="J676" s="22"/>
      <c r="K676" s="22"/>
      <c r="L676" s="22"/>
      <c r="M676" s="22"/>
      <c r="O676" s="3"/>
      <c r="V676" s="3"/>
      <c r="W676" s="3"/>
      <c r="X676" s="3"/>
      <c r="Y676" s="3"/>
      <c r="Z676" s="3"/>
    </row>
    <row r="677" spans="1:26" ht="12.75">
      <c r="A677" s="3"/>
      <c r="D677" s="22"/>
      <c r="E677" s="22"/>
      <c r="F677" s="22"/>
      <c r="G677" s="22"/>
      <c r="H677" s="22"/>
      <c r="I677" s="22"/>
      <c r="J677" s="22"/>
      <c r="K677" s="22"/>
      <c r="L677" s="22"/>
      <c r="M677" s="22"/>
      <c r="O677" s="3"/>
      <c r="V677" s="3"/>
      <c r="W677" s="3"/>
      <c r="X677" s="3"/>
      <c r="Y677" s="3"/>
      <c r="Z677" s="3"/>
    </row>
    <row r="678" spans="1:26" ht="12.75">
      <c r="A678" s="3"/>
      <c r="D678" s="22"/>
      <c r="E678" s="22"/>
      <c r="F678" s="22"/>
      <c r="G678" s="22"/>
      <c r="H678" s="22"/>
      <c r="I678" s="22"/>
      <c r="J678" s="22"/>
      <c r="K678" s="22"/>
      <c r="L678" s="22"/>
      <c r="M678" s="22"/>
      <c r="O678" s="3"/>
      <c r="V678" s="3"/>
      <c r="W678" s="3"/>
      <c r="X678" s="3"/>
      <c r="Y678" s="3"/>
      <c r="Z678" s="3"/>
    </row>
    <row r="679" spans="1:26" ht="12.75">
      <c r="A679" s="3"/>
      <c r="D679" s="22"/>
      <c r="E679" s="22"/>
      <c r="F679" s="22"/>
      <c r="G679" s="22"/>
      <c r="H679" s="22"/>
      <c r="I679" s="22"/>
      <c r="J679" s="22"/>
      <c r="K679" s="22"/>
      <c r="L679" s="22"/>
      <c r="M679" s="22"/>
      <c r="O679" s="3"/>
      <c r="V679" s="3"/>
      <c r="W679" s="3"/>
      <c r="X679" s="3"/>
      <c r="Y679" s="3"/>
      <c r="Z679" s="3"/>
    </row>
    <row r="680" spans="1:26" ht="12.75">
      <c r="A680" s="3"/>
      <c r="D680" s="22"/>
      <c r="E680" s="22"/>
      <c r="F680" s="22"/>
      <c r="G680" s="22"/>
      <c r="H680" s="22"/>
      <c r="I680" s="22"/>
      <c r="J680" s="22"/>
      <c r="K680" s="22"/>
      <c r="L680" s="22"/>
      <c r="M680" s="22"/>
      <c r="O680" s="3"/>
      <c r="V680" s="3"/>
      <c r="W680" s="3"/>
      <c r="X680" s="3"/>
      <c r="Y680" s="3"/>
      <c r="Z680" s="3"/>
    </row>
    <row r="681" spans="1:26" ht="12.75">
      <c r="A681" s="3"/>
      <c r="D681" s="22"/>
      <c r="E681" s="22"/>
      <c r="F681" s="22"/>
      <c r="G681" s="22"/>
      <c r="H681" s="22"/>
      <c r="I681" s="22"/>
      <c r="J681" s="22"/>
      <c r="K681" s="22"/>
      <c r="L681" s="22"/>
      <c r="M681" s="22"/>
      <c r="O681" s="3"/>
      <c r="V681" s="3"/>
      <c r="W681" s="3"/>
      <c r="X681" s="3"/>
      <c r="Y681" s="3"/>
      <c r="Z681" s="3"/>
    </row>
    <row r="682" spans="1:26" ht="12.75">
      <c r="A682" s="3"/>
      <c r="D682" s="22"/>
      <c r="E682" s="22"/>
      <c r="F682" s="22"/>
      <c r="G682" s="22"/>
      <c r="H682" s="22"/>
      <c r="I682" s="22"/>
      <c r="J682" s="22"/>
      <c r="K682" s="22"/>
      <c r="L682" s="22"/>
      <c r="M682" s="22"/>
      <c r="O682" s="3"/>
      <c r="V682" s="3"/>
      <c r="W682" s="3"/>
      <c r="X682" s="3"/>
      <c r="Y682" s="3"/>
      <c r="Z682" s="3"/>
    </row>
    <row r="683" spans="1:26" ht="12.75">
      <c r="A683" s="3"/>
      <c r="D683" s="22"/>
      <c r="E683" s="22"/>
      <c r="F683" s="22"/>
      <c r="G683" s="22"/>
      <c r="H683" s="22"/>
      <c r="I683" s="22"/>
      <c r="J683" s="22"/>
      <c r="K683" s="22"/>
      <c r="L683" s="22"/>
      <c r="M683" s="22"/>
      <c r="O683" s="3"/>
      <c r="V683" s="3"/>
      <c r="W683" s="3"/>
      <c r="X683" s="3"/>
      <c r="Y683" s="3"/>
      <c r="Z683" s="3"/>
    </row>
    <row r="684" spans="1:26" ht="12.75">
      <c r="A684" s="3"/>
      <c r="D684" s="22"/>
      <c r="E684" s="22"/>
      <c r="F684" s="22"/>
      <c r="G684" s="22"/>
      <c r="H684" s="22"/>
      <c r="I684" s="22"/>
      <c r="J684" s="22"/>
      <c r="K684" s="22"/>
      <c r="L684" s="22"/>
      <c r="M684" s="22"/>
      <c r="O684" s="3"/>
      <c r="V684" s="3"/>
      <c r="W684" s="3"/>
      <c r="X684" s="3"/>
      <c r="Y684" s="3"/>
      <c r="Z684" s="3"/>
    </row>
    <row r="685" spans="1:26" ht="12.75">
      <c r="A685" s="3"/>
      <c r="D685" s="22"/>
      <c r="E685" s="22"/>
      <c r="F685" s="22"/>
      <c r="G685" s="22"/>
      <c r="H685" s="22"/>
      <c r="I685" s="22"/>
      <c r="J685" s="22"/>
      <c r="K685" s="22"/>
      <c r="L685" s="22"/>
      <c r="M685" s="22"/>
      <c r="O685" s="3"/>
      <c r="V685" s="3"/>
      <c r="W685" s="3"/>
      <c r="X685" s="3"/>
      <c r="Y685" s="3"/>
      <c r="Z685" s="3"/>
    </row>
    <row r="686" spans="1:26" ht="12.75">
      <c r="A686" s="3"/>
      <c r="D686" s="22"/>
      <c r="E686" s="22"/>
      <c r="F686" s="22"/>
      <c r="G686" s="22"/>
      <c r="H686" s="22"/>
      <c r="I686" s="22"/>
      <c r="J686" s="22"/>
      <c r="K686" s="22"/>
      <c r="L686" s="22"/>
      <c r="M686" s="22"/>
      <c r="O686" s="3"/>
      <c r="V686" s="3"/>
      <c r="W686" s="3"/>
      <c r="X686" s="3"/>
      <c r="Y686" s="3"/>
      <c r="Z686" s="3"/>
    </row>
    <row r="687" spans="1:26" ht="12.75">
      <c r="A687" s="3"/>
      <c r="D687" s="22"/>
      <c r="E687" s="22"/>
      <c r="F687" s="22"/>
      <c r="G687" s="22"/>
      <c r="H687" s="22"/>
      <c r="I687" s="22"/>
      <c r="J687" s="22"/>
      <c r="K687" s="22"/>
      <c r="L687" s="22"/>
      <c r="M687" s="22"/>
      <c r="O687" s="3"/>
      <c r="V687" s="3"/>
      <c r="W687" s="3"/>
      <c r="X687" s="3"/>
      <c r="Y687" s="3"/>
      <c r="Z687" s="3"/>
    </row>
    <row r="688" spans="1:26" ht="12.75">
      <c r="A688" s="3"/>
      <c r="D688" s="22"/>
      <c r="E688" s="22"/>
      <c r="F688" s="22"/>
      <c r="G688" s="22"/>
      <c r="H688" s="22"/>
      <c r="I688" s="22"/>
      <c r="J688" s="22"/>
      <c r="K688" s="22"/>
      <c r="L688" s="22"/>
      <c r="M688" s="22"/>
      <c r="O688" s="3"/>
      <c r="V688" s="3"/>
      <c r="W688" s="3"/>
      <c r="X688" s="3"/>
      <c r="Y688" s="3"/>
      <c r="Z688" s="3"/>
    </row>
    <row r="689" spans="1:26" ht="12.75">
      <c r="A689" s="3"/>
      <c r="D689" s="22"/>
      <c r="E689" s="22"/>
      <c r="F689" s="22"/>
      <c r="G689" s="22"/>
      <c r="H689" s="22"/>
      <c r="I689" s="22"/>
      <c r="J689" s="22"/>
      <c r="K689" s="22"/>
      <c r="L689" s="22"/>
      <c r="M689" s="22"/>
      <c r="O689" s="3"/>
      <c r="V689" s="3"/>
      <c r="W689" s="3"/>
      <c r="X689" s="3"/>
      <c r="Y689" s="3"/>
      <c r="Z689" s="3"/>
    </row>
    <row r="690" spans="1:26" ht="12.75">
      <c r="A690" s="3"/>
      <c r="D690" s="22"/>
      <c r="E690" s="22"/>
      <c r="F690" s="22"/>
      <c r="G690" s="22"/>
      <c r="H690" s="22"/>
      <c r="I690" s="22"/>
      <c r="J690" s="22"/>
      <c r="K690" s="22"/>
      <c r="L690" s="22"/>
      <c r="M690" s="22"/>
      <c r="O690" s="3"/>
      <c r="V690" s="3"/>
      <c r="W690" s="3"/>
      <c r="X690" s="3"/>
      <c r="Y690" s="3"/>
      <c r="Z690" s="3"/>
    </row>
    <row r="691" spans="1:26" ht="12.75">
      <c r="A691" s="3"/>
      <c r="D691" s="22"/>
      <c r="E691" s="22"/>
      <c r="F691" s="22"/>
      <c r="G691" s="22"/>
      <c r="H691" s="22"/>
      <c r="I691" s="22"/>
      <c r="J691" s="22"/>
      <c r="K691" s="22"/>
      <c r="L691" s="22"/>
      <c r="M691" s="22"/>
      <c r="O691" s="3"/>
      <c r="V691" s="3"/>
      <c r="W691" s="3"/>
      <c r="X691" s="3"/>
      <c r="Y691" s="3"/>
      <c r="Z691" s="3"/>
    </row>
    <row r="692" spans="1:26" ht="12.75">
      <c r="A692" s="3"/>
      <c r="D692" s="22"/>
      <c r="E692" s="22"/>
      <c r="F692" s="22"/>
      <c r="G692" s="22"/>
      <c r="H692" s="22"/>
      <c r="I692" s="22"/>
      <c r="J692" s="22"/>
      <c r="K692" s="22"/>
      <c r="L692" s="22"/>
      <c r="M692" s="22"/>
      <c r="O692" s="3"/>
      <c r="V692" s="3"/>
      <c r="W692" s="3"/>
      <c r="X692" s="3"/>
      <c r="Y692" s="3"/>
      <c r="Z692" s="3"/>
    </row>
    <row r="693" spans="1:26" ht="12.75">
      <c r="A693" s="3"/>
      <c r="D693" s="22"/>
      <c r="E693" s="22"/>
      <c r="F693" s="22"/>
      <c r="G693" s="22"/>
      <c r="H693" s="22"/>
      <c r="I693" s="22"/>
      <c r="J693" s="22"/>
      <c r="K693" s="22"/>
      <c r="L693" s="22"/>
      <c r="M693" s="22"/>
      <c r="O693" s="3"/>
      <c r="V693" s="3"/>
      <c r="W693" s="3"/>
      <c r="X693" s="3"/>
      <c r="Y693" s="3"/>
      <c r="Z693" s="3"/>
    </row>
    <row r="694" spans="1:26" ht="12.75">
      <c r="A694" s="3"/>
      <c r="D694" s="22"/>
      <c r="E694" s="22"/>
      <c r="F694" s="22"/>
      <c r="G694" s="22"/>
      <c r="H694" s="22"/>
      <c r="I694" s="22"/>
      <c r="J694" s="22"/>
      <c r="K694" s="22"/>
      <c r="L694" s="22"/>
      <c r="M694" s="22"/>
      <c r="O694" s="3"/>
      <c r="V694" s="3"/>
      <c r="W694" s="3"/>
      <c r="X694" s="3"/>
      <c r="Y694" s="3"/>
      <c r="Z694" s="3"/>
    </row>
    <row r="695" spans="1:26" ht="12.75">
      <c r="A695" s="3"/>
      <c r="D695" s="22"/>
      <c r="E695" s="22"/>
      <c r="F695" s="22"/>
      <c r="G695" s="22"/>
      <c r="H695" s="22"/>
      <c r="I695" s="22"/>
      <c r="J695" s="22"/>
      <c r="K695" s="22"/>
      <c r="L695" s="22"/>
      <c r="M695" s="22"/>
      <c r="O695" s="3"/>
      <c r="V695" s="3"/>
      <c r="W695" s="3"/>
      <c r="X695" s="3"/>
      <c r="Y695" s="3"/>
      <c r="Z695" s="3"/>
    </row>
    <row r="696" spans="1:26" ht="12.75">
      <c r="A696" s="3"/>
      <c r="D696" s="22"/>
      <c r="E696" s="22"/>
      <c r="F696" s="22"/>
      <c r="G696" s="22"/>
      <c r="H696" s="22"/>
      <c r="I696" s="22"/>
      <c r="J696" s="22"/>
      <c r="K696" s="22"/>
      <c r="L696" s="22"/>
      <c r="M696" s="22"/>
      <c r="O696" s="3"/>
      <c r="V696" s="3"/>
      <c r="W696" s="3"/>
      <c r="X696" s="3"/>
      <c r="Y696" s="3"/>
      <c r="Z696" s="3"/>
    </row>
    <row r="697" spans="1:26" ht="12.75">
      <c r="A697" s="3"/>
      <c r="D697" s="22"/>
      <c r="E697" s="22"/>
      <c r="F697" s="22"/>
      <c r="G697" s="22"/>
      <c r="H697" s="22"/>
      <c r="I697" s="22"/>
      <c r="J697" s="22"/>
      <c r="K697" s="22"/>
      <c r="L697" s="22"/>
      <c r="M697" s="22"/>
      <c r="O697" s="3"/>
      <c r="V697" s="3"/>
      <c r="W697" s="3"/>
      <c r="X697" s="3"/>
      <c r="Y697" s="3"/>
      <c r="Z697" s="3"/>
    </row>
    <row r="698" spans="1:26" ht="12.75">
      <c r="A698" s="3"/>
      <c r="D698" s="22"/>
      <c r="E698" s="22"/>
      <c r="F698" s="22"/>
      <c r="G698" s="22"/>
      <c r="H698" s="22"/>
      <c r="I698" s="22"/>
      <c r="J698" s="22"/>
      <c r="K698" s="22"/>
      <c r="L698" s="22"/>
      <c r="M698" s="22"/>
      <c r="O698" s="3"/>
      <c r="V698" s="3"/>
      <c r="W698" s="3"/>
      <c r="X698" s="3"/>
      <c r="Y698" s="3"/>
      <c r="Z698" s="3"/>
    </row>
    <row r="699" spans="1:26" ht="12.75">
      <c r="A699" s="3"/>
      <c r="D699" s="22"/>
      <c r="E699" s="22"/>
      <c r="F699" s="22"/>
      <c r="G699" s="22"/>
      <c r="H699" s="22"/>
      <c r="I699" s="22"/>
      <c r="J699" s="22"/>
      <c r="K699" s="22"/>
      <c r="L699" s="22"/>
      <c r="M699" s="22"/>
      <c r="O699" s="3"/>
      <c r="V699" s="3"/>
      <c r="W699" s="3"/>
      <c r="X699" s="3"/>
      <c r="Y699" s="3"/>
      <c r="Z699" s="3"/>
    </row>
    <row r="700" spans="1:26" ht="12.75">
      <c r="A700" s="3"/>
      <c r="D700" s="22"/>
      <c r="E700" s="22"/>
      <c r="F700" s="22"/>
      <c r="G700" s="22"/>
      <c r="H700" s="22"/>
      <c r="I700" s="22"/>
      <c r="J700" s="22"/>
      <c r="K700" s="22"/>
      <c r="L700" s="22"/>
      <c r="M700" s="22"/>
      <c r="O700" s="3"/>
      <c r="V700" s="3"/>
      <c r="W700" s="3"/>
      <c r="X700" s="3"/>
      <c r="Y700" s="3"/>
      <c r="Z700" s="3"/>
    </row>
    <row r="701" spans="1:26" ht="12.75">
      <c r="A701" s="3"/>
      <c r="D701" s="22"/>
      <c r="E701" s="22"/>
      <c r="F701" s="22"/>
      <c r="G701" s="22"/>
      <c r="H701" s="22"/>
      <c r="I701" s="22"/>
      <c r="J701" s="22"/>
      <c r="K701" s="22"/>
      <c r="L701" s="22"/>
      <c r="M701" s="22"/>
      <c r="O701" s="3"/>
      <c r="V701" s="3"/>
      <c r="W701" s="3"/>
      <c r="X701" s="3"/>
      <c r="Y701" s="3"/>
      <c r="Z701" s="3"/>
    </row>
    <row r="702" spans="1:26" ht="12.75">
      <c r="A702" s="3"/>
      <c r="D702" s="22"/>
      <c r="E702" s="22"/>
      <c r="F702" s="22"/>
      <c r="G702" s="22"/>
      <c r="H702" s="22"/>
      <c r="I702" s="22"/>
      <c r="J702" s="22"/>
      <c r="K702" s="22"/>
      <c r="L702" s="22"/>
      <c r="M702" s="22"/>
      <c r="O702" s="3"/>
      <c r="V702" s="3"/>
      <c r="W702" s="3"/>
      <c r="X702" s="3"/>
      <c r="Y702" s="3"/>
      <c r="Z702" s="3"/>
    </row>
    <row r="703" spans="1:26" ht="12.75">
      <c r="A703" s="3"/>
      <c r="D703" s="22"/>
      <c r="E703" s="22"/>
      <c r="F703" s="22"/>
      <c r="G703" s="22"/>
      <c r="H703" s="22"/>
      <c r="I703" s="22"/>
      <c r="J703" s="22"/>
      <c r="K703" s="22"/>
      <c r="L703" s="22"/>
      <c r="M703" s="22"/>
      <c r="O703" s="3"/>
      <c r="V703" s="3"/>
      <c r="W703" s="3"/>
      <c r="X703" s="3"/>
      <c r="Y703" s="3"/>
      <c r="Z703" s="3"/>
    </row>
    <row r="704" spans="1:26" ht="12.75">
      <c r="A704" s="3"/>
      <c r="D704" s="22"/>
      <c r="E704" s="22"/>
      <c r="F704" s="22"/>
      <c r="G704" s="22"/>
      <c r="H704" s="22"/>
      <c r="I704" s="22"/>
      <c r="J704" s="22"/>
      <c r="K704" s="22"/>
      <c r="L704" s="22"/>
      <c r="M704" s="22"/>
      <c r="O704" s="3"/>
      <c r="V704" s="3"/>
      <c r="W704" s="3"/>
      <c r="X704" s="3"/>
      <c r="Y704" s="3"/>
      <c r="Z704" s="3"/>
    </row>
    <row r="705" spans="1:26" ht="12.75">
      <c r="A705" s="3"/>
      <c r="D705" s="22"/>
      <c r="E705" s="22"/>
      <c r="F705" s="22"/>
      <c r="G705" s="22"/>
      <c r="H705" s="22"/>
      <c r="I705" s="22"/>
      <c r="J705" s="22"/>
      <c r="K705" s="22"/>
      <c r="L705" s="22"/>
      <c r="M705" s="22"/>
      <c r="O705" s="3"/>
      <c r="V705" s="3"/>
      <c r="W705" s="3"/>
      <c r="X705" s="3"/>
      <c r="Y705" s="3"/>
      <c r="Z705" s="3"/>
    </row>
    <row r="706" spans="1:26" ht="12.75">
      <c r="A706" s="3"/>
      <c r="D706" s="22"/>
      <c r="E706" s="22"/>
      <c r="F706" s="22"/>
      <c r="G706" s="22"/>
      <c r="H706" s="22"/>
      <c r="I706" s="22"/>
      <c r="J706" s="22"/>
      <c r="K706" s="22"/>
      <c r="L706" s="22"/>
      <c r="M706" s="22"/>
      <c r="O706" s="3"/>
      <c r="V706" s="3"/>
      <c r="W706" s="3"/>
      <c r="X706" s="3"/>
      <c r="Y706" s="3"/>
      <c r="Z706" s="3"/>
    </row>
    <row r="707" spans="1:26" ht="12.75">
      <c r="A707" s="3"/>
      <c r="D707" s="22"/>
      <c r="E707" s="22"/>
      <c r="F707" s="22"/>
      <c r="G707" s="22"/>
      <c r="H707" s="22"/>
      <c r="I707" s="22"/>
      <c r="J707" s="22"/>
      <c r="K707" s="22"/>
      <c r="L707" s="22"/>
      <c r="M707" s="22"/>
      <c r="O707" s="3"/>
      <c r="V707" s="3"/>
      <c r="W707" s="3"/>
      <c r="X707" s="3"/>
      <c r="Y707" s="3"/>
      <c r="Z707" s="3"/>
    </row>
    <row r="708" spans="1:26" ht="12.75">
      <c r="A708" s="3"/>
      <c r="D708" s="22"/>
      <c r="E708" s="22"/>
      <c r="F708" s="22"/>
      <c r="G708" s="22"/>
      <c r="H708" s="22"/>
      <c r="I708" s="22"/>
      <c r="J708" s="22"/>
      <c r="K708" s="22"/>
      <c r="L708" s="22"/>
      <c r="M708" s="22"/>
      <c r="O708" s="3"/>
      <c r="V708" s="3"/>
      <c r="W708" s="3"/>
      <c r="X708" s="3"/>
      <c r="Y708" s="3"/>
      <c r="Z708" s="3"/>
    </row>
    <row r="709" spans="1:26" ht="12.75">
      <c r="A709" s="3"/>
      <c r="D709" s="22"/>
      <c r="E709" s="22"/>
      <c r="F709" s="22"/>
      <c r="G709" s="22"/>
      <c r="H709" s="22"/>
      <c r="I709" s="22"/>
      <c r="J709" s="22"/>
      <c r="K709" s="22"/>
      <c r="L709" s="22"/>
      <c r="M709" s="22"/>
      <c r="O709" s="3"/>
      <c r="V709" s="3"/>
      <c r="W709" s="3"/>
      <c r="X709" s="3"/>
      <c r="Y709" s="3"/>
      <c r="Z709" s="3"/>
    </row>
    <row r="710" spans="1:26" ht="12.75">
      <c r="A710" s="3"/>
      <c r="D710" s="22"/>
      <c r="E710" s="22"/>
      <c r="F710" s="22"/>
      <c r="G710" s="22"/>
      <c r="H710" s="22"/>
      <c r="I710" s="22"/>
      <c r="J710" s="22"/>
      <c r="K710" s="22"/>
      <c r="L710" s="22"/>
      <c r="M710" s="22"/>
      <c r="O710" s="3"/>
      <c r="V710" s="3"/>
      <c r="W710" s="3"/>
      <c r="X710" s="3"/>
      <c r="Y710" s="3"/>
      <c r="Z710" s="3"/>
    </row>
    <row r="711" spans="1:26" ht="12.75">
      <c r="A711" s="3"/>
      <c r="D711" s="22"/>
      <c r="E711" s="22"/>
      <c r="F711" s="22"/>
      <c r="G711" s="22"/>
      <c r="H711" s="22"/>
      <c r="I711" s="22"/>
      <c r="J711" s="22"/>
      <c r="K711" s="22"/>
      <c r="L711" s="22"/>
      <c r="M711" s="22"/>
      <c r="O711" s="3"/>
      <c r="V711" s="3"/>
      <c r="W711" s="3"/>
      <c r="X711" s="3"/>
      <c r="Y711" s="3"/>
      <c r="Z711" s="3"/>
    </row>
    <row r="712" spans="1:26" ht="12.75">
      <c r="A712" s="3"/>
      <c r="D712" s="22"/>
      <c r="E712" s="22"/>
      <c r="F712" s="22"/>
      <c r="G712" s="22"/>
      <c r="H712" s="22"/>
      <c r="I712" s="22"/>
      <c r="J712" s="22"/>
      <c r="K712" s="22"/>
      <c r="L712" s="22"/>
      <c r="M712" s="22"/>
      <c r="O712" s="3"/>
      <c r="V712" s="3"/>
      <c r="W712" s="3"/>
      <c r="X712" s="3"/>
      <c r="Y712" s="3"/>
      <c r="Z712" s="3"/>
    </row>
    <row r="713" spans="1:26" ht="12.75">
      <c r="A713" s="3"/>
      <c r="D713" s="22"/>
      <c r="E713" s="22"/>
      <c r="F713" s="22"/>
      <c r="G713" s="22"/>
      <c r="H713" s="22"/>
      <c r="I713" s="22"/>
      <c r="J713" s="22"/>
      <c r="K713" s="22"/>
      <c r="L713" s="22"/>
      <c r="M713" s="22"/>
      <c r="O713" s="3"/>
      <c r="V713" s="3"/>
      <c r="W713" s="3"/>
      <c r="X713" s="3"/>
      <c r="Y713" s="3"/>
      <c r="Z713" s="3"/>
    </row>
    <row r="714" spans="1:26" ht="12.75">
      <c r="A714" s="3"/>
      <c r="D714" s="22"/>
      <c r="E714" s="22"/>
      <c r="F714" s="22"/>
      <c r="G714" s="22"/>
      <c r="H714" s="22"/>
      <c r="I714" s="22"/>
      <c r="J714" s="22"/>
      <c r="K714" s="22"/>
      <c r="L714" s="22"/>
      <c r="M714" s="22"/>
      <c r="O714" s="3"/>
      <c r="V714" s="3"/>
      <c r="W714" s="3"/>
      <c r="X714" s="3"/>
      <c r="Y714" s="3"/>
      <c r="Z714" s="3"/>
    </row>
    <row r="715" spans="1:26" ht="12.75">
      <c r="A715" s="3"/>
      <c r="D715" s="22"/>
      <c r="E715" s="22"/>
      <c r="F715" s="22"/>
      <c r="G715" s="22"/>
      <c r="H715" s="22"/>
      <c r="I715" s="22"/>
      <c r="J715" s="22"/>
      <c r="K715" s="22"/>
      <c r="L715" s="22"/>
      <c r="M715" s="22"/>
      <c r="O715" s="3"/>
      <c r="V715" s="3"/>
      <c r="W715" s="3"/>
      <c r="X715" s="3"/>
      <c r="Y715" s="3"/>
      <c r="Z715" s="3"/>
    </row>
    <row r="716" spans="1:26" ht="12.75">
      <c r="A716" s="3"/>
      <c r="D716" s="22"/>
      <c r="E716" s="22"/>
      <c r="F716" s="22"/>
      <c r="G716" s="22"/>
      <c r="H716" s="22"/>
      <c r="I716" s="22"/>
      <c r="J716" s="22"/>
      <c r="K716" s="22"/>
      <c r="L716" s="22"/>
      <c r="M716" s="22"/>
      <c r="O716" s="3"/>
      <c r="V716" s="3"/>
      <c r="W716" s="3"/>
      <c r="X716" s="3"/>
      <c r="Y716" s="3"/>
      <c r="Z716" s="3"/>
    </row>
    <row r="717" spans="1:26" ht="12.75">
      <c r="A717" s="3"/>
      <c r="D717" s="22"/>
      <c r="E717" s="22"/>
      <c r="F717" s="22"/>
      <c r="G717" s="22"/>
      <c r="H717" s="22"/>
      <c r="I717" s="22"/>
      <c r="J717" s="22"/>
      <c r="K717" s="22"/>
      <c r="L717" s="22"/>
      <c r="M717" s="22"/>
      <c r="O717" s="3"/>
      <c r="V717" s="3"/>
      <c r="W717" s="3"/>
      <c r="X717" s="3"/>
      <c r="Y717" s="3"/>
      <c r="Z717" s="3"/>
    </row>
    <row r="718" spans="1:26" ht="12.75">
      <c r="A718" s="3"/>
      <c r="D718" s="22"/>
      <c r="E718" s="22"/>
      <c r="F718" s="22"/>
      <c r="G718" s="22"/>
      <c r="H718" s="22"/>
      <c r="I718" s="22"/>
      <c r="J718" s="22"/>
      <c r="K718" s="22"/>
      <c r="L718" s="22"/>
      <c r="M718" s="22"/>
      <c r="O718" s="3"/>
      <c r="V718" s="3"/>
      <c r="W718" s="3"/>
      <c r="X718" s="3"/>
      <c r="Y718" s="3"/>
      <c r="Z718" s="3"/>
    </row>
    <row r="719" spans="1:26" ht="12.75">
      <c r="A719" s="3"/>
      <c r="D719" s="22"/>
      <c r="E719" s="22"/>
      <c r="F719" s="22"/>
      <c r="G719" s="22"/>
      <c r="H719" s="22"/>
      <c r="I719" s="22"/>
      <c r="J719" s="22"/>
      <c r="K719" s="22"/>
      <c r="L719" s="22"/>
      <c r="M719" s="22"/>
      <c r="O719" s="3"/>
      <c r="V719" s="3"/>
      <c r="W719" s="3"/>
      <c r="X719" s="3"/>
      <c r="Y719" s="3"/>
      <c r="Z719" s="3"/>
    </row>
    <row r="720" spans="1:26" ht="12.75">
      <c r="A720" s="3"/>
      <c r="D720" s="22"/>
      <c r="E720" s="22"/>
      <c r="F720" s="22"/>
      <c r="G720" s="22"/>
      <c r="H720" s="22"/>
      <c r="I720" s="22"/>
      <c r="J720" s="22"/>
      <c r="K720" s="22"/>
      <c r="L720" s="22"/>
      <c r="M720" s="22"/>
      <c r="O720" s="3"/>
      <c r="V720" s="3"/>
      <c r="W720" s="3"/>
      <c r="X720" s="3"/>
      <c r="Y720" s="3"/>
      <c r="Z720" s="3"/>
    </row>
    <row r="721" spans="1:26" ht="12.75">
      <c r="A721" s="3"/>
      <c r="D721" s="22"/>
      <c r="E721" s="22"/>
      <c r="F721" s="22"/>
      <c r="G721" s="22"/>
      <c r="H721" s="22"/>
      <c r="I721" s="22"/>
      <c r="J721" s="22"/>
      <c r="K721" s="22"/>
      <c r="L721" s="22"/>
      <c r="M721" s="22"/>
      <c r="O721" s="3"/>
      <c r="V721" s="3"/>
      <c r="W721" s="3"/>
      <c r="X721" s="3"/>
      <c r="Y721" s="3"/>
      <c r="Z721" s="3"/>
    </row>
    <row r="722" spans="1:26" ht="12.75">
      <c r="A722" s="3"/>
      <c r="D722" s="22"/>
      <c r="E722" s="22"/>
      <c r="F722" s="22"/>
      <c r="G722" s="22"/>
      <c r="H722" s="22"/>
      <c r="I722" s="22"/>
      <c r="J722" s="22"/>
      <c r="K722" s="22"/>
      <c r="L722" s="22"/>
      <c r="M722" s="22"/>
      <c r="O722" s="3"/>
      <c r="V722" s="3"/>
      <c r="W722" s="3"/>
      <c r="X722" s="3"/>
      <c r="Y722" s="3"/>
      <c r="Z722" s="3"/>
    </row>
    <row r="723" spans="1:26" ht="12.75">
      <c r="A723" s="3"/>
      <c r="D723" s="22"/>
      <c r="E723" s="22"/>
      <c r="F723" s="22"/>
      <c r="G723" s="22"/>
      <c r="H723" s="22"/>
      <c r="I723" s="22"/>
      <c r="J723" s="22"/>
      <c r="K723" s="22"/>
      <c r="L723" s="22"/>
      <c r="M723" s="22"/>
      <c r="O723" s="3"/>
      <c r="V723" s="3"/>
      <c r="W723" s="3"/>
      <c r="X723" s="3"/>
      <c r="Y723" s="3"/>
      <c r="Z723" s="3"/>
    </row>
    <row r="724" spans="1:26" ht="12.75">
      <c r="A724" s="3"/>
      <c r="D724" s="22"/>
      <c r="E724" s="22"/>
      <c r="F724" s="22"/>
      <c r="G724" s="22"/>
      <c r="H724" s="22"/>
      <c r="I724" s="22"/>
      <c r="J724" s="22"/>
      <c r="K724" s="22"/>
      <c r="L724" s="22"/>
      <c r="M724" s="22"/>
      <c r="O724" s="3"/>
      <c r="V724" s="3"/>
      <c r="W724" s="3"/>
      <c r="X724" s="3"/>
      <c r="Y724" s="3"/>
      <c r="Z724" s="3"/>
    </row>
    <row r="725" spans="1:26" ht="12.75">
      <c r="A725" s="3"/>
      <c r="D725" s="22"/>
      <c r="E725" s="22"/>
      <c r="F725" s="22"/>
      <c r="G725" s="22"/>
      <c r="H725" s="22"/>
      <c r="I725" s="22"/>
      <c r="J725" s="22"/>
      <c r="K725" s="22"/>
      <c r="L725" s="22"/>
      <c r="M725" s="22"/>
      <c r="O725" s="3"/>
      <c r="V725" s="3"/>
      <c r="W725" s="3"/>
      <c r="X725" s="3"/>
      <c r="Y725" s="3"/>
      <c r="Z725" s="3"/>
    </row>
    <row r="726" spans="1:26" ht="12.75">
      <c r="A726" s="3"/>
      <c r="D726" s="22"/>
      <c r="E726" s="22"/>
      <c r="F726" s="22"/>
      <c r="G726" s="22"/>
      <c r="H726" s="22"/>
      <c r="I726" s="22"/>
      <c r="J726" s="22"/>
      <c r="K726" s="22"/>
      <c r="L726" s="22"/>
      <c r="M726" s="22"/>
      <c r="O726" s="3"/>
      <c r="V726" s="3"/>
      <c r="W726" s="3"/>
      <c r="X726" s="3"/>
      <c r="Y726" s="3"/>
      <c r="Z726" s="3"/>
    </row>
    <row r="727" spans="1:26" ht="12.75">
      <c r="A727" s="3"/>
      <c r="D727" s="22"/>
      <c r="E727" s="22"/>
      <c r="F727" s="22"/>
      <c r="G727" s="22"/>
      <c r="H727" s="22"/>
      <c r="I727" s="22"/>
      <c r="J727" s="22"/>
      <c r="K727" s="22"/>
      <c r="L727" s="22"/>
      <c r="M727" s="22"/>
      <c r="O727" s="3"/>
      <c r="V727" s="3"/>
      <c r="W727" s="3"/>
      <c r="X727" s="3"/>
      <c r="Y727" s="3"/>
      <c r="Z727" s="3"/>
    </row>
    <row r="728" spans="1:26" ht="12.75">
      <c r="A728" s="3"/>
      <c r="D728" s="22"/>
      <c r="E728" s="22"/>
      <c r="F728" s="22"/>
      <c r="G728" s="22"/>
      <c r="H728" s="22"/>
      <c r="I728" s="22"/>
      <c r="J728" s="22"/>
      <c r="K728" s="22"/>
      <c r="L728" s="22"/>
      <c r="M728" s="22"/>
      <c r="O728" s="3"/>
      <c r="V728" s="3"/>
      <c r="W728" s="3"/>
      <c r="X728" s="3"/>
      <c r="Y728" s="3"/>
      <c r="Z728" s="3"/>
    </row>
    <row r="729" spans="1:26" ht="12.75">
      <c r="A729" s="3"/>
      <c r="D729" s="22"/>
      <c r="E729" s="22"/>
      <c r="F729" s="22"/>
      <c r="G729" s="22"/>
      <c r="H729" s="22"/>
      <c r="I729" s="22"/>
      <c r="J729" s="22"/>
      <c r="K729" s="22"/>
      <c r="L729" s="22"/>
      <c r="M729" s="22"/>
      <c r="O729" s="3"/>
      <c r="V729" s="3"/>
      <c r="W729" s="3"/>
      <c r="X729" s="3"/>
      <c r="Y729" s="3"/>
      <c r="Z729" s="3"/>
    </row>
    <row r="730" spans="1:26" ht="12.75">
      <c r="A730" s="3"/>
      <c r="D730" s="22"/>
      <c r="E730" s="22"/>
      <c r="F730" s="22"/>
      <c r="G730" s="22"/>
      <c r="H730" s="22"/>
      <c r="I730" s="22"/>
      <c r="J730" s="22"/>
      <c r="K730" s="22"/>
      <c r="L730" s="22"/>
      <c r="M730" s="22"/>
      <c r="O730" s="3"/>
      <c r="V730" s="3"/>
      <c r="W730" s="3"/>
      <c r="X730" s="3"/>
      <c r="Y730" s="3"/>
      <c r="Z730" s="3"/>
    </row>
    <row r="731" spans="1:26" ht="12.75">
      <c r="A731" s="3"/>
      <c r="D731" s="22"/>
      <c r="E731" s="22"/>
      <c r="F731" s="22"/>
      <c r="G731" s="22"/>
      <c r="H731" s="22"/>
      <c r="I731" s="22"/>
      <c r="J731" s="22"/>
      <c r="K731" s="22"/>
      <c r="L731" s="22"/>
      <c r="M731" s="22"/>
      <c r="O731" s="3"/>
      <c r="V731" s="3"/>
      <c r="W731" s="3"/>
      <c r="X731" s="3"/>
      <c r="Y731" s="3"/>
      <c r="Z731" s="3"/>
    </row>
    <row r="732" spans="1:26" ht="12.75">
      <c r="A732" s="3"/>
      <c r="D732" s="22"/>
      <c r="E732" s="22"/>
      <c r="F732" s="22"/>
      <c r="G732" s="22"/>
      <c r="H732" s="22"/>
      <c r="I732" s="22"/>
      <c r="J732" s="22"/>
      <c r="K732" s="22"/>
      <c r="L732" s="22"/>
      <c r="M732" s="22"/>
      <c r="O732" s="3"/>
      <c r="V732" s="3"/>
      <c r="W732" s="3"/>
      <c r="X732" s="3"/>
      <c r="Y732" s="3"/>
      <c r="Z732" s="3"/>
    </row>
    <row r="733" spans="1:26" ht="12.75">
      <c r="A733" s="3"/>
      <c r="D733" s="22"/>
      <c r="E733" s="22"/>
      <c r="F733" s="22"/>
      <c r="G733" s="22"/>
      <c r="H733" s="22"/>
      <c r="I733" s="22"/>
      <c r="J733" s="22"/>
      <c r="K733" s="22"/>
      <c r="L733" s="22"/>
      <c r="M733" s="22"/>
      <c r="O733" s="3"/>
      <c r="V733" s="3"/>
      <c r="W733" s="3"/>
      <c r="X733" s="3"/>
      <c r="Y733" s="3"/>
      <c r="Z733" s="3"/>
    </row>
    <row r="734" spans="1:26" ht="12.75">
      <c r="A734" s="3"/>
      <c r="D734" s="22"/>
      <c r="E734" s="22"/>
      <c r="F734" s="22"/>
      <c r="G734" s="22"/>
      <c r="H734" s="22"/>
      <c r="I734" s="22"/>
      <c r="J734" s="22"/>
      <c r="K734" s="22"/>
      <c r="L734" s="22"/>
      <c r="M734" s="22"/>
      <c r="O734" s="3"/>
      <c r="V734" s="3"/>
      <c r="W734" s="3"/>
      <c r="X734" s="3"/>
      <c r="Y734" s="3"/>
      <c r="Z734" s="3"/>
    </row>
    <row r="735" spans="1:26" ht="12.75">
      <c r="A735" s="3"/>
      <c r="D735" s="22"/>
      <c r="E735" s="22"/>
      <c r="F735" s="22"/>
      <c r="G735" s="22"/>
      <c r="H735" s="22"/>
      <c r="I735" s="22"/>
      <c r="J735" s="22"/>
      <c r="K735" s="22"/>
      <c r="L735" s="22"/>
      <c r="M735" s="22"/>
      <c r="O735" s="3"/>
      <c r="V735" s="3"/>
      <c r="W735" s="3"/>
      <c r="X735" s="3"/>
      <c r="Y735" s="3"/>
      <c r="Z735" s="3"/>
    </row>
    <row r="736" spans="1:26" ht="12.75">
      <c r="A736" s="3"/>
      <c r="D736" s="22"/>
      <c r="E736" s="22"/>
      <c r="F736" s="22"/>
      <c r="G736" s="22"/>
      <c r="H736" s="22"/>
      <c r="I736" s="22"/>
      <c r="J736" s="22"/>
      <c r="K736" s="22"/>
      <c r="L736" s="22"/>
      <c r="M736" s="22"/>
      <c r="O736" s="3"/>
      <c r="V736" s="3"/>
      <c r="W736" s="3"/>
      <c r="X736" s="3"/>
      <c r="Y736" s="3"/>
      <c r="Z736" s="3"/>
    </row>
    <row r="737" spans="1:26" ht="12.75">
      <c r="A737" s="3"/>
      <c r="D737" s="22"/>
      <c r="E737" s="22"/>
      <c r="F737" s="22"/>
      <c r="G737" s="22"/>
      <c r="H737" s="22"/>
      <c r="I737" s="22"/>
      <c r="J737" s="22"/>
      <c r="K737" s="22"/>
      <c r="L737" s="22"/>
      <c r="M737" s="22"/>
      <c r="O737" s="3"/>
      <c r="V737" s="3"/>
      <c r="W737" s="3"/>
      <c r="X737" s="3"/>
      <c r="Y737" s="3"/>
      <c r="Z737" s="3"/>
    </row>
    <row r="738" spans="1:26" ht="12.75">
      <c r="A738" s="3"/>
      <c r="D738" s="22"/>
      <c r="E738" s="22"/>
      <c r="F738" s="22"/>
      <c r="G738" s="22"/>
      <c r="H738" s="22"/>
      <c r="I738" s="22"/>
      <c r="J738" s="22"/>
      <c r="K738" s="22"/>
      <c r="L738" s="22"/>
      <c r="M738" s="22"/>
      <c r="O738" s="3"/>
      <c r="V738" s="3"/>
      <c r="W738" s="3"/>
      <c r="X738" s="3"/>
      <c r="Y738" s="3"/>
      <c r="Z738" s="3"/>
    </row>
    <row r="739" spans="1:26" ht="12.75">
      <c r="A739" s="3"/>
      <c r="D739" s="22"/>
      <c r="E739" s="22"/>
      <c r="F739" s="22"/>
      <c r="G739" s="22"/>
      <c r="H739" s="22"/>
      <c r="I739" s="22"/>
      <c r="J739" s="22"/>
      <c r="K739" s="22"/>
      <c r="L739" s="22"/>
      <c r="M739" s="22"/>
      <c r="O739" s="3"/>
      <c r="V739" s="3"/>
      <c r="W739" s="3"/>
      <c r="X739" s="3"/>
      <c r="Y739" s="3"/>
      <c r="Z739" s="3"/>
    </row>
    <row r="740" spans="1:26" ht="12.75">
      <c r="A740" s="3"/>
      <c r="D740" s="22"/>
      <c r="E740" s="22"/>
      <c r="F740" s="22"/>
      <c r="G740" s="22"/>
      <c r="H740" s="22"/>
      <c r="I740" s="22"/>
      <c r="J740" s="22"/>
      <c r="K740" s="22"/>
      <c r="L740" s="22"/>
      <c r="M740" s="22"/>
      <c r="O740" s="3"/>
      <c r="V740" s="3"/>
      <c r="W740" s="3"/>
      <c r="X740" s="3"/>
      <c r="Y740" s="3"/>
      <c r="Z740" s="3"/>
    </row>
    <row r="741" spans="1:26" ht="12.75">
      <c r="A741" s="3"/>
      <c r="D741" s="22"/>
      <c r="E741" s="22"/>
      <c r="F741" s="22"/>
      <c r="G741" s="22"/>
      <c r="H741" s="22"/>
      <c r="I741" s="22"/>
      <c r="J741" s="22"/>
      <c r="K741" s="22"/>
      <c r="L741" s="22"/>
      <c r="M741" s="22"/>
      <c r="O741" s="3"/>
      <c r="V741" s="3"/>
      <c r="W741" s="3"/>
      <c r="X741" s="3"/>
      <c r="Y741" s="3"/>
      <c r="Z741" s="3"/>
    </row>
    <row r="742" spans="1:26" ht="12.75">
      <c r="A742" s="3"/>
      <c r="D742" s="22"/>
      <c r="E742" s="22"/>
      <c r="F742" s="22"/>
      <c r="G742" s="22"/>
      <c r="H742" s="22"/>
      <c r="I742" s="22"/>
      <c r="J742" s="22"/>
      <c r="K742" s="22"/>
      <c r="L742" s="22"/>
      <c r="M742" s="22"/>
      <c r="O742" s="3"/>
      <c r="V742" s="3"/>
      <c r="W742" s="3"/>
      <c r="X742" s="3"/>
      <c r="Y742" s="3"/>
      <c r="Z742" s="3"/>
    </row>
    <row r="743" spans="1:26" ht="12.75">
      <c r="A743" s="3"/>
      <c r="D743" s="22"/>
      <c r="E743" s="22"/>
      <c r="F743" s="22"/>
      <c r="G743" s="22"/>
      <c r="H743" s="22"/>
      <c r="I743" s="22"/>
      <c r="J743" s="22"/>
      <c r="K743" s="22"/>
      <c r="L743" s="22"/>
      <c r="M743" s="22"/>
      <c r="O743" s="3"/>
      <c r="V743" s="3"/>
      <c r="W743" s="3"/>
      <c r="X743" s="3"/>
      <c r="Y743" s="3"/>
      <c r="Z743" s="3"/>
    </row>
    <row r="744" spans="1:26" ht="12.75">
      <c r="A744" s="3"/>
      <c r="D744" s="22"/>
      <c r="E744" s="22"/>
      <c r="F744" s="22"/>
      <c r="G744" s="22"/>
      <c r="H744" s="22"/>
      <c r="I744" s="22"/>
      <c r="J744" s="22"/>
      <c r="K744" s="22"/>
      <c r="L744" s="22"/>
      <c r="M744" s="22"/>
      <c r="O744" s="3"/>
      <c r="V744" s="3"/>
      <c r="W744" s="3"/>
      <c r="X744" s="3"/>
      <c r="Y744" s="3"/>
      <c r="Z744" s="3"/>
    </row>
    <row r="745" spans="1:26" ht="12.75">
      <c r="A745" s="3"/>
      <c r="D745" s="22"/>
      <c r="E745" s="22"/>
      <c r="F745" s="22"/>
      <c r="G745" s="22"/>
      <c r="H745" s="22"/>
      <c r="I745" s="22"/>
      <c r="J745" s="22"/>
      <c r="K745" s="22"/>
      <c r="L745" s="22"/>
      <c r="M745" s="22"/>
      <c r="O745" s="3"/>
      <c r="V745" s="3"/>
      <c r="W745" s="3"/>
      <c r="X745" s="3"/>
      <c r="Y745" s="3"/>
      <c r="Z745" s="3"/>
    </row>
    <row r="746" spans="1:26" ht="12.75">
      <c r="A746" s="3"/>
      <c r="D746" s="22"/>
      <c r="E746" s="22"/>
      <c r="F746" s="22"/>
      <c r="G746" s="22"/>
      <c r="H746" s="22"/>
      <c r="I746" s="22"/>
      <c r="J746" s="22"/>
      <c r="K746" s="22"/>
      <c r="L746" s="22"/>
      <c r="M746" s="22"/>
      <c r="O746" s="3"/>
      <c r="V746" s="3"/>
      <c r="W746" s="3"/>
      <c r="X746" s="3"/>
      <c r="Y746" s="3"/>
      <c r="Z746" s="3"/>
    </row>
    <row r="747" spans="1:26" ht="12.75">
      <c r="A747" s="3"/>
      <c r="D747" s="22"/>
      <c r="E747" s="22"/>
      <c r="F747" s="22"/>
      <c r="G747" s="22"/>
      <c r="H747" s="22"/>
      <c r="I747" s="22"/>
      <c r="J747" s="22"/>
      <c r="K747" s="22"/>
      <c r="L747" s="22"/>
      <c r="M747" s="22"/>
      <c r="O747" s="3"/>
      <c r="V747" s="3"/>
      <c r="W747" s="3"/>
      <c r="X747" s="3"/>
      <c r="Y747" s="3"/>
      <c r="Z747" s="3"/>
    </row>
    <row r="748" spans="1:26" ht="12.75">
      <c r="A748" s="3"/>
      <c r="D748" s="22"/>
      <c r="E748" s="22"/>
      <c r="F748" s="22"/>
      <c r="G748" s="22"/>
      <c r="H748" s="22"/>
      <c r="I748" s="22"/>
      <c r="J748" s="22"/>
      <c r="K748" s="22"/>
      <c r="L748" s="22"/>
      <c r="M748" s="22"/>
      <c r="O748" s="3"/>
      <c r="V748" s="3"/>
      <c r="W748" s="3"/>
      <c r="X748" s="3"/>
      <c r="Y748" s="3"/>
      <c r="Z748" s="3"/>
    </row>
    <row r="749" spans="1:26" ht="12.75">
      <c r="A749" s="3"/>
      <c r="D749" s="22"/>
      <c r="E749" s="22"/>
      <c r="F749" s="22"/>
      <c r="G749" s="22"/>
      <c r="H749" s="22"/>
      <c r="I749" s="22"/>
      <c r="J749" s="22"/>
      <c r="K749" s="22"/>
      <c r="L749" s="22"/>
      <c r="M749" s="22"/>
      <c r="O749" s="3"/>
      <c r="V749" s="3"/>
      <c r="W749" s="3"/>
      <c r="X749" s="3"/>
      <c r="Y749" s="3"/>
      <c r="Z749" s="3"/>
    </row>
    <row r="750" spans="1:26" ht="12.75">
      <c r="A750" s="3"/>
      <c r="D750" s="22"/>
      <c r="E750" s="22"/>
      <c r="F750" s="22"/>
      <c r="G750" s="22"/>
      <c r="H750" s="22"/>
      <c r="I750" s="22"/>
      <c r="J750" s="22"/>
      <c r="K750" s="22"/>
      <c r="L750" s="22"/>
      <c r="M750" s="22"/>
      <c r="O750" s="3"/>
      <c r="V750" s="3"/>
      <c r="W750" s="3"/>
      <c r="X750" s="3"/>
      <c r="Y750" s="3"/>
      <c r="Z750" s="3"/>
    </row>
    <row r="751" spans="1:26" ht="12.75">
      <c r="A751" s="3"/>
      <c r="D751" s="22"/>
      <c r="E751" s="22"/>
      <c r="F751" s="22"/>
      <c r="G751" s="22"/>
      <c r="H751" s="22"/>
      <c r="I751" s="22"/>
      <c r="J751" s="22"/>
      <c r="K751" s="22"/>
      <c r="L751" s="22"/>
      <c r="M751" s="22"/>
      <c r="O751" s="3"/>
      <c r="V751" s="3"/>
      <c r="W751" s="3"/>
      <c r="X751" s="3"/>
      <c r="Y751" s="3"/>
      <c r="Z751" s="3"/>
    </row>
    <row r="752" spans="1:26" ht="12.75">
      <c r="A752" s="3"/>
      <c r="D752" s="22"/>
      <c r="E752" s="22"/>
      <c r="F752" s="22"/>
      <c r="G752" s="22"/>
      <c r="H752" s="22"/>
      <c r="I752" s="22"/>
      <c r="J752" s="22"/>
      <c r="K752" s="22"/>
      <c r="L752" s="22"/>
      <c r="M752" s="22"/>
      <c r="O752" s="3"/>
      <c r="V752" s="3"/>
      <c r="W752" s="3"/>
      <c r="X752" s="3"/>
      <c r="Y752" s="3"/>
      <c r="Z752" s="3"/>
    </row>
    <row r="753" spans="1:26" ht="12.75">
      <c r="A753" s="3"/>
      <c r="D753" s="22"/>
      <c r="E753" s="22"/>
      <c r="F753" s="22"/>
      <c r="G753" s="22"/>
      <c r="H753" s="22"/>
      <c r="I753" s="22"/>
      <c r="J753" s="22"/>
      <c r="K753" s="22"/>
      <c r="L753" s="22"/>
      <c r="M753" s="22"/>
      <c r="O753" s="3"/>
      <c r="V753" s="3"/>
      <c r="W753" s="3"/>
      <c r="X753" s="3"/>
      <c r="Y753" s="3"/>
      <c r="Z753" s="3"/>
    </row>
    <row r="754" spans="1:26" ht="12.75">
      <c r="A754" s="3"/>
      <c r="D754" s="22"/>
      <c r="E754" s="22"/>
      <c r="F754" s="22"/>
      <c r="G754" s="22"/>
      <c r="H754" s="22"/>
      <c r="I754" s="22"/>
      <c r="J754" s="22"/>
      <c r="K754" s="22"/>
      <c r="L754" s="22"/>
      <c r="M754" s="22"/>
      <c r="O754" s="3"/>
      <c r="V754" s="3"/>
      <c r="W754" s="3"/>
      <c r="X754" s="3"/>
      <c r="Y754" s="3"/>
      <c r="Z754" s="3"/>
    </row>
    <row r="755" spans="1:26" ht="12.75">
      <c r="A755" s="3"/>
      <c r="D755" s="22"/>
      <c r="E755" s="22"/>
      <c r="F755" s="22"/>
      <c r="G755" s="22"/>
      <c r="H755" s="22"/>
      <c r="I755" s="22"/>
      <c r="J755" s="22"/>
      <c r="K755" s="22"/>
      <c r="L755" s="22"/>
      <c r="M755" s="22"/>
      <c r="O755" s="3"/>
      <c r="V755" s="3"/>
      <c r="W755" s="3"/>
      <c r="X755" s="3"/>
      <c r="Y755" s="3"/>
      <c r="Z755" s="3"/>
    </row>
    <row r="756" spans="1:26" ht="12.75">
      <c r="A756" s="3"/>
      <c r="D756" s="22"/>
      <c r="E756" s="22"/>
      <c r="F756" s="22"/>
      <c r="G756" s="22"/>
      <c r="H756" s="22"/>
      <c r="I756" s="22"/>
      <c r="J756" s="22"/>
      <c r="K756" s="22"/>
      <c r="L756" s="22"/>
      <c r="M756" s="22"/>
      <c r="O756" s="3"/>
      <c r="V756" s="3"/>
      <c r="W756" s="3"/>
      <c r="X756" s="3"/>
      <c r="Y756" s="3"/>
      <c r="Z756" s="3"/>
    </row>
    <row r="757" spans="1:26" ht="12.75">
      <c r="A757" s="3"/>
      <c r="D757" s="22"/>
      <c r="E757" s="22"/>
      <c r="F757" s="22"/>
      <c r="G757" s="22"/>
      <c r="H757" s="22"/>
      <c r="I757" s="22"/>
      <c r="J757" s="22"/>
      <c r="K757" s="22"/>
      <c r="L757" s="22"/>
      <c r="M757" s="22"/>
      <c r="O757" s="3"/>
      <c r="V757" s="3"/>
      <c r="W757" s="3"/>
      <c r="X757" s="3"/>
      <c r="Y757" s="3"/>
      <c r="Z757" s="3"/>
    </row>
    <row r="758" spans="1:26" ht="12.75">
      <c r="A758" s="3"/>
      <c r="D758" s="22"/>
      <c r="E758" s="22"/>
      <c r="F758" s="22"/>
      <c r="G758" s="22"/>
      <c r="H758" s="22"/>
      <c r="I758" s="22"/>
      <c r="J758" s="22"/>
      <c r="K758" s="22"/>
      <c r="L758" s="22"/>
      <c r="M758" s="22"/>
      <c r="O758" s="3"/>
      <c r="V758" s="3"/>
      <c r="W758" s="3"/>
      <c r="X758" s="3"/>
      <c r="Y758" s="3"/>
      <c r="Z758" s="3"/>
    </row>
    <row r="759" spans="1:26" ht="12.75">
      <c r="A759" s="3"/>
      <c r="D759" s="22"/>
      <c r="E759" s="22"/>
      <c r="F759" s="22"/>
      <c r="G759" s="22"/>
      <c r="H759" s="22"/>
      <c r="I759" s="22"/>
      <c r="J759" s="22"/>
      <c r="K759" s="22"/>
      <c r="L759" s="22"/>
      <c r="M759" s="22"/>
      <c r="O759" s="3"/>
      <c r="V759" s="3"/>
      <c r="W759" s="3"/>
      <c r="X759" s="3"/>
      <c r="Y759" s="3"/>
      <c r="Z759" s="3"/>
    </row>
    <row r="760" spans="1:26" ht="12.75">
      <c r="A760" s="3"/>
      <c r="D760" s="22"/>
      <c r="E760" s="22"/>
      <c r="F760" s="22"/>
      <c r="G760" s="22"/>
      <c r="H760" s="22"/>
      <c r="I760" s="22"/>
      <c r="J760" s="22"/>
      <c r="K760" s="22"/>
      <c r="L760" s="22"/>
      <c r="M760" s="22"/>
      <c r="O760" s="3"/>
      <c r="V760" s="3"/>
      <c r="W760" s="3"/>
      <c r="X760" s="3"/>
      <c r="Y760" s="3"/>
      <c r="Z760" s="3"/>
    </row>
    <row r="761" spans="1:26" ht="12.75">
      <c r="A761" s="3"/>
      <c r="D761" s="22"/>
      <c r="E761" s="22"/>
      <c r="F761" s="22"/>
      <c r="G761" s="22"/>
      <c r="H761" s="22"/>
      <c r="I761" s="22"/>
      <c r="J761" s="22"/>
      <c r="K761" s="22"/>
      <c r="L761" s="22"/>
      <c r="M761" s="22"/>
      <c r="O761" s="3"/>
      <c r="V761" s="3"/>
      <c r="W761" s="3"/>
      <c r="X761" s="3"/>
      <c r="Y761" s="3"/>
      <c r="Z761" s="3"/>
    </row>
    <row r="762" spans="1:26" ht="12.75">
      <c r="A762" s="3"/>
      <c r="D762" s="22"/>
      <c r="E762" s="22"/>
      <c r="F762" s="22"/>
      <c r="G762" s="22"/>
      <c r="H762" s="22"/>
      <c r="I762" s="22"/>
      <c r="J762" s="22"/>
      <c r="K762" s="22"/>
      <c r="L762" s="22"/>
      <c r="M762" s="22"/>
      <c r="O762" s="3"/>
      <c r="V762" s="3"/>
      <c r="W762" s="3"/>
      <c r="X762" s="3"/>
      <c r="Y762" s="3"/>
      <c r="Z762" s="3"/>
    </row>
    <row r="763" spans="1:26" ht="12.75">
      <c r="A763" s="3"/>
      <c r="D763" s="22"/>
      <c r="E763" s="22"/>
      <c r="F763" s="22"/>
      <c r="G763" s="22"/>
      <c r="H763" s="22"/>
      <c r="I763" s="22"/>
      <c r="J763" s="22"/>
      <c r="K763" s="22"/>
      <c r="L763" s="22"/>
      <c r="M763" s="22"/>
      <c r="O763" s="3"/>
      <c r="V763" s="3"/>
      <c r="W763" s="3"/>
      <c r="X763" s="3"/>
      <c r="Y763" s="3"/>
      <c r="Z763" s="3"/>
    </row>
    <row r="764" spans="1:26" ht="12.75">
      <c r="A764" s="3"/>
      <c r="D764" s="22"/>
      <c r="E764" s="22"/>
      <c r="F764" s="22"/>
      <c r="G764" s="22"/>
      <c r="H764" s="22"/>
      <c r="I764" s="22"/>
      <c r="J764" s="22"/>
      <c r="K764" s="22"/>
      <c r="L764" s="22"/>
      <c r="M764" s="22"/>
      <c r="O764" s="3"/>
      <c r="V764" s="3"/>
      <c r="W764" s="3"/>
      <c r="X764" s="3"/>
      <c r="Y764" s="3"/>
      <c r="Z764" s="3"/>
    </row>
    <row r="765" spans="1:26" ht="12.75">
      <c r="A765" s="3"/>
      <c r="D765" s="22"/>
      <c r="E765" s="22"/>
      <c r="F765" s="22"/>
      <c r="G765" s="22"/>
      <c r="H765" s="22"/>
      <c r="I765" s="22"/>
      <c r="J765" s="22"/>
      <c r="K765" s="22"/>
      <c r="L765" s="22"/>
      <c r="M765" s="22"/>
      <c r="O765" s="3"/>
      <c r="V765" s="3"/>
      <c r="W765" s="3"/>
      <c r="X765" s="3"/>
      <c r="Y765" s="3"/>
      <c r="Z765" s="3"/>
    </row>
    <row r="766" spans="1:26" ht="12.75">
      <c r="A766" s="3"/>
      <c r="D766" s="22"/>
      <c r="E766" s="22"/>
      <c r="F766" s="22"/>
      <c r="G766" s="22"/>
      <c r="H766" s="22"/>
      <c r="I766" s="22"/>
      <c r="J766" s="22"/>
      <c r="K766" s="22"/>
      <c r="L766" s="22"/>
      <c r="M766" s="22"/>
      <c r="O766" s="3"/>
      <c r="V766" s="3"/>
      <c r="W766" s="3"/>
      <c r="X766" s="3"/>
      <c r="Y766" s="3"/>
      <c r="Z766" s="3"/>
    </row>
    <row r="767" spans="1:26" ht="12.75">
      <c r="A767" s="3"/>
      <c r="D767" s="22"/>
      <c r="E767" s="22"/>
      <c r="F767" s="22"/>
      <c r="G767" s="22"/>
      <c r="H767" s="22"/>
      <c r="I767" s="22"/>
      <c r="J767" s="22"/>
      <c r="K767" s="22"/>
      <c r="L767" s="22"/>
      <c r="M767" s="22"/>
      <c r="O767" s="3"/>
      <c r="V767" s="3"/>
      <c r="W767" s="3"/>
      <c r="X767" s="3"/>
      <c r="Y767" s="3"/>
      <c r="Z767" s="3"/>
    </row>
    <row r="768" spans="1:26" ht="12.75">
      <c r="A768" s="3"/>
      <c r="D768" s="22"/>
      <c r="E768" s="22"/>
      <c r="F768" s="22"/>
      <c r="G768" s="22"/>
      <c r="H768" s="22"/>
      <c r="I768" s="22"/>
      <c r="J768" s="22"/>
      <c r="K768" s="22"/>
      <c r="L768" s="22"/>
      <c r="M768" s="22"/>
      <c r="O768" s="3"/>
      <c r="V768" s="3"/>
      <c r="W768" s="3"/>
      <c r="X768" s="3"/>
      <c r="Y768" s="3"/>
      <c r="Z768" s="3"/>
    </row>
    <row r="769" spans="1:26" ht="12.75">
      <c r="A769" s="3"/>
      <c r="D769" s="22"/>
      <c r="E769" s="22"/>
      <c r="F769" s="22"/>
      <c r="G769" s="22"/>
      <c r="H769" s="22"/>
      <c r="I769" s="22"/>
      <c r="J769" s="22"/>
      <c r="K769" s="22"/>
      <c r="L769" s="22"/>
      <c r="M769" s="22"/>
      <c r="O769" s="3"/>
      <c r="V769" s="3"/>
      <c r="W769" s="3"/>
      <c r="X769" s="3"/>
      <c r="Y769" s="3"/>
      <c r="Z769" s="3"/>
    </row>
    <row r="770" spans="1:26" ht="12.75">
      <c r="A770" s="3"/>
      <c r="D770" s="22"/>
      <c r="E770" s="22"/>
      <c r="F770" s="22"/>
      <c r="G770" s="22"/>
      <c r="H770" s="22"/>
      <c r="I770" s="22"/>
      <c r="J770" s="22"/>
      <c r="K770" s="22"/>
      <c r="L770" s="22"/>
      <c r="M770" s="22"/>
      <c r="O770" s="3"/>
      <c r="V770" s="3"/>
      <c r="W770" s="3"/>
      <c r="X770" s="3"/>
      <c r="Y770" s="3"/>
      <c r="Z770" s="3"/>
    </row>
    <row r="771" spans="1:26" ht="12.75">
      <c r="A771" s="3"/>
      <c r="D771" s="22"/>
      <c r="E771" s="22"/>
      <c r="F771" s="22"/>
      <c r="G771" s="22"/>
      <c r="H771" s="22"/>
      <c r="I771" s="22"/>
      <c r="J771" s="22"/>
      <c r="K771" s="22"/>
      <c r="L771" s="22"/>
      <c r="M771" s="22"/>
      <c r="O771" s="3"/>
      <c r="V771" s="3"/>
      <c r="W771" s="3"/>
      <c r="X771" s="3"/>
      <c r="Y771" s="3"/>
      <c r="Z771" s="3"/>
    </row>
    <row r="772" spans="1:26" ht="12.75">
      <c r="A772" s="3"/>
      <c r="D772" s="22"/>
      <c r="E772" s="22"/>
      <c r="F772" s="22"/>
      <c r="G772" s="22"/>
      <c r="H772" s="22"/>
      <c r="I772" s="22"/>
      <c r="J772" s="22"/>
      <c r="K772" s="22"/>
      <c r="L772" s="22"/>
      <c r="M772" s="22"/>
      <c r="O772" s="3"/>
      <c r="V772" s="3"/>
      <c r="W772" s="3"/>
      <c r="X772" s="3"/>
      <c r="Y772" s="3"/>
      <c r="Z772" s="3"/>
    </row>
    <row r="773" spans="1:26" ht="12.75">
      <c r="A773" s="3"/>
      <c r="D773" s="22"/>
      <c r="E773" s="22"/>
      <c r="F773" s="22"/>
      <c r="G773" s="22"/>
      <c r="H773" s="22"/>
      <c r="I773" s="22"/>
      <c r="J773" s="22"/>
      <c r="K773" s="22"/>
      <c r="L773" s="22"/>
      <c r="M773" s="22"/>
      <c r="O773" s="3"/>
      <c r="V773" s="3"/>
      <c r="W773" s="3"/>
      <c r="X773" s="3"/>
      <c r="Y773" s="3"/>
      <c r="Z773" s="3"/>
    </row>
    <row r="774" spans="1:26" ht="12.75">
      <c r="A774" s="3"/>
      <c r="D774" s="22"/>
      <c r="E774" s="22"/>
      <c r="F774" s="22"/>
      <c r="G774" s="22"/>
      <c r="H774" s="22"/>
      <c r="I774" s="22"/>
      <c r="J774" s="22"/>
      <c r="K774" s="22"/>
      <c r="L774" s="22"/>
      <c r="M774" s="22"/>
      <c r="O774" s="3"/>
      <c r="V774" s="3"/>
      <c r="W774" s="3"/>
      <c r="X774" s="3"/>
      <c r="Y774" s="3"/>
      <c r="Z774" s="3"/>
    </row>
    <row r="775" spans="1:26" ht="12.75">
      <c r="A775" s="3"/>
      <c r="D775" s="22"/>
      <c r="E775" s="22"/>
      <c r="F775" s="22"/>
      <c r="G775" s="22"/>
      <c r="H775" s="22"/>
      <c r="I775" s="22"/>
      <c r="J775" s="22"/>
      <c r="K775" s="22"/>
      <c r="L775" s="22"/>
      <c r="M775" s="22"/>
      <c r="O775" s="3"/>
      <c r="V775" s="3"/>
      <c r="W775" s="3"/>
      <c r="X775" s="3"/>
      <c r="Y775" s="3"/>
      <c r="Z775" s="3"/>
    </row>
    <row r="776" spans="1:26" ht="12.75">
      <c r="A776" s="3"/>
      <c r="D776" s="22"/>
      <c r="E776" s="22"/>
      <c r="F776" s="22"/>
      <c r="G776" s="22"/>
      <c r="H776" s="22"/>
      <c r="I776" s="22"/>
      <c r="J776" s="22"/>
      <c r="K776" s="22"/>
      <c r="L776" s="22"/>
      <c r="M776" s="22"/>
      <c r="O776" s="3"/>
      <c r="V776" s="3"/>
      <c r="W776" s="3"/>
      <c r="X776" s="3"/>
      <c r="Y776" s="3"/>
      <c r="Z776" s="3"/>
    </row>
    <row r="777" spans="1:26" ht="12.75">
      <c r="A777" s="3"/>
      <c r="D777" s="22"/>
      <c r="E777" s="22"/>
      <c r="F777" s="22"/>
      <c r="G777" s="22"/>
      <c r="H777" s="22"/>
      <c r="I777" s="22"/>
      <c r="J777" s="22"/>
      <c r="K777" s="22"/>
      <c r="L777" s="22"/>
      <c r="M777" s="22"/>
      <c r="O777" s="3"/>
      <c r="V777" s="3"/>
      <c r="W777" s="3"/>
      <c r="X777" s="3"/>
      <c r="Y777" s="3"/>
      <c r="Z777" s="3"/>
    </row>
    <row r="778" spans="1:26" ht="12.75">
      <c r="A778" s="3"/>
      <c r="D778" s="22"/>
      <c r="E778" s="22"/>
      <c r="F778" s="22"/>
      <c r="G778" s="22"/>
      <c r="H778" s="22"/>
      <c r="I778" s="22"/>
      <c r="J778" s="22"/>
      <c r="K778" s="22"/>
      <c r="L778" s="22"/>
      <c r="M778" s="22"/>
      <c r="O778" s="3"/>
      <c r="V778" s="3"/>
      <c r="W778" s="3"/>
      <c r="X778" s="3"/>
      <c r="Y778" s="3"/>
      <c r="Z778" s="3"/>
    </row>
    <row r="779" spans="1:26" ht="12.75">
      <c r="A779" s="3"/>
      <c r="D779" s="22"/>
      <c r="E779" s="22"/>
      <c r="F779" s="22"/>
      <c r="G779" s="22"/>
      <c r="H779" s="22"/>
      <c r="I779" s="22"/>
      <c r="J779" s="22"/>
      <c r="K779" s="22"/>
      <c r="L779" s="22"/>
      <c r="M779" s="22"/>
      <c r="O779" s="3"/>
      <c r="V779" s="3"/>
      <c r="W779" s="3"/>
      <c r="X779" s="3"/>
      <c r="Y779" s="3"/>
      <c r="Z779" s="3"/>
    </row>
    <row r="780" spans="1:26" ht="12.75">
      <c r="A780" s="3"/>
      <c r="D780" s="22"/>
      <c r="E780" s="22"/>
      <c r="F780" s="22"/>
      <c r="G780" s="22"/>
      <c r="H780" s="22"/>
      <c r="I780" s="22"/>
      <c r="J780" s="22"/>
      <c r="K780" s="22"/>
      <c r="L780" s="22"/>
      <c r="M780" s="22"/>
      <c r="O780" s="3"/>
      <c r="V780" s="3"/>
      <c r="W780" s="3"/>
      <c r="X780" s="3"/>
      <c r="Y780" s="3"/>
      <c r="Z780" s="3"/>
    </row>
    <row r="781" spans="1:26" ht="12.75">
      <c r="A781" s="3"/>
      <c r="D781" s="22"/>
      <c r="E781" s="22"/>
      <c r="F781" s="22"/>
      <c r="G781" s="22"/>
      <c r="H781" s="22"/>
      <c r="I781" s="22"/>
      <c r="J781" s="22"/>
      <c r="K781" s="22"/>
      <c r="L781" s="22"/>
      <c r="M781" s="22"/>
      <c r="O781" s="3"/>
      <c r="V781" s="3"/>
      <c r="W781" s="3"/>
      <c r="X781" s="3"/>
      <c r="Y781" s="3"/>
      <c r="Z781" s="3"/>
    </row>
    <row r="782" spans="1:26" ht="12.75">
      <c r="A782" s="3"/>
      <c r="D782" s="22"/>
      <c r="E782" s="22"/>
      <c r="F782" s="22"/>
      <c r="G782" s="22"/>
      <c r="H782" s="22"/>
      <c r="I782" s="22"/>
      <c r="J782" s="22"/>
      <c r="K782" s="22"/>
      <c r="L782" s="22"/>
      <c r="M782" s="22"/>
      <c r="O782" s="3"/>
      <c r="V782" s="3"/>
      <c r="W782" s="3"/>
      <c r="X782" s="3"/>
      <c r="Y782" s="3"/>
      <c r="Z782" s="3"/>
    </row>
    <row r="783" spans="1:26" ht="12.75">
      <c r="A783" s="3"/>
      <c r="D783" s="22"/>
      <c r="E783" s="22"/>
      <c r="F783" s="22"/>
      <c r="G783" s="22"/>
      <c r="H783" s="22"/>
      <c r="I783" s="22"/>
      <c r="J783" s="22"/>
      <c r="K783" s="22"/>
      <c r="L783" s="22"/>
      <c r="M783" s="22"/>
      <c r="O783" s="3"/>
      <c r="V783" s="3"/>
      <c r="W783" s="3"/>
      <c r="X783" s="3"/>
      <c r="Y783" s="3"/>
      <c r="Z783" s="3"/>
    </row>
    <row r="784" spans="1:26" ht="12.75">
      <c r="A784" s="3"/>
      <c r="D784" s="22"/>
      <c r="E784" s="22"/>
      <c r="F784" s="22"/>
      <c r="G784" s="22"/>
      <c r="H784" s="22"/>
      <c r="I784" s="22"/>
      <c r="J784" s="22"/>
      <c r="K784" s="22"/>
      <c r="L784" s="22"/>
      <c r="M784" s="22"/>
      <c r="O784" s="3"/>
      <c r="V784" s="3"/>
      <c r="W784" s="3"/>
      <c r="X784" s="3"/>
      <c r="Y784" s="3"/>
      <c r="Z784" s="3"/>
    </row>
    <row r="785" spans="1:26" ht="12.75">
      <c r="A785" s="3"/>
      <c r="D785" s="22"/>
      <c r="E785" s="22"/>
      <c r="F785" s="22"/>
      <c r="G785" s="22"/>
      <c r="H785" s="22"/>
      <c r="I785" s="22"/>
      <c r="J785" s="22"/>
      <c r="K785" s="22"/>
      <c r="L785" s="22"/>
      <c r="M785" s="22"/>
      <c r="O785" s="3"/>
      <c r="V785" s="3"/>
      <c r="W785" s="3"/>
      <c r="X785" s="3"/>
      <c r="Y785" s="3"/>
      <c r="Z785" s="3"/>
    </row>
    <row r="786" spans="1:26" ht="12.75">
      <c r="A786" s="3"/>
      <c r="D786" s="22"/>
      <c r="E786" s="22"/>
      <c r="F786" s="22"/>
      <c r="G786" s="22"/>
      <c r="H786" s="22"/>
      <c r="I786" s="22"/>
      <c r="J786" s="22"/>
      <c r="K786" s="22"/>
      <c r="L786" s="22"/>
      <c r="M786" s="22"/>
      <c r="O786" s="3"/>
      <c r="V786" s="3"/>
      <c r="W786" s="3"/>
      <c r="X786" s="3"/>
      <c r="Y786" s="3"/>
      <c r="Z786" s="3"/>
    </row>
    <row r="787" spans="1:26" ht="12.75">
      <c r="A787" s="3"/>
      <c r="D787" s="22"/>
      <c r="E787" s="22"/>
      <c r="F787" s="22"/>
      <c r="G787" s="22"/>
      <c r="H787" s="22"/>
      <c r="I787" s="22"/>
      <c r="J787" s="22"/>
      <c r="K787" s="22"/>
      <c r="L787" s="22"/>
      <c r="M787" s="22"/>
      <c r="O787" s="3"/>
      <c r="V787" s="3"/>
      <c r="W787" s="3"/>
      <c r="X787" s="3"/>
      <c r="Y787" s="3"/>
      <c r="Z787" s="3"/>
    </row>
    <row r="788" spans="1:26" ht="12.75">
      <c r="A788" s="3"/>
      <c r="D788" s="22"/>
      <c r="E788" s="22"/>
      <c r="F788" s="22"/>
      <c r="G788" s="22"/>
      <c r="H788" s="22"/>
      <c r="I788" s="22"/>
      <c r="J788" s="22"/>
      <c r="K788" s="22"/>
      <c r="L788" s="22"/>
      <c r="M788" s="22"/>
      <c r="O788" s="3"/>
      <c r="V788" s="3"/>
      <c r="W788" s="3"/>
      <c r="X788" s="3"/>
      <c r="Y788" s="3"/>
      <c r="Z788" s="3"/>
    </row>
    <row r="789" spans="1:26" ht="12.75">
      <c r="A789" s="3"/>
      <c r="D789" s="22"/>
      <c r="E789" s="22"/>
      <c r="F789" s="22"/>
      <c r="G789" s="22"/>
      <c r="H789" s="22"/>
      <c r="I789" s="22"/>
      <c r="J789" s="22"/>
      <c r="K789" s="22"/>
      <c r="L789" s="22"/>
      <c r="M789" s="22"/>
      <c r="O789" s="3"/>
      <c r="V789" s="3"/>
      <c r="W789" s="3"/>
      <c r="X789" s="3"/>
      <c r="Y789" s="3"/>
      <c r="Z789" s="3"/>
    </row>
    <row r="790" spans="1:26" ht="12.75">
      <c r="A790" s="3"/>
      <c r="D790" s="22"/>
      <c r="E790" s="22"/>
      <c r="F790" s="22"/>
      <c r="G790" s="22"/>
      <c r="H790" s="22"/>
      <c r="I790" s="22"/>
      <c r="J790" s="22"/>
      <c r="K790" s="22"/>
      <c r="L790" s="22"/>
      <c r="M790" s="22"/>
      <c r="O790" s="3"/>
      <c r="V790" s="3"/>
      <c r="W790" s="3"/>
      <c r="X790" s="3"/>
      <c r="Y790" s="3"/>
      <c r="Z790" s="3"/>
    </row>
    <row r="791" spans="1:26" ht="12.75">
      <c r="A791" s="3"/>
      <c r="D791" s="22"/>
      <c r="E791" s="22"/>
      <c r="F791" s="22"/>
      <c r="G791" s="22"/>
      <c r="H791" s="22"/>
      <c r="I791" s="22"/>
      <c r="J791" s="22"/>
      <c r="K791" s="22"/>
      <c r="L791" s="22"/>
      <c r="M791" s="22"/>
      <c r="O791" s="3"/>
      <c r="V791" s="3"/>
      <c r="W791" s="3"/>
      <c r="X791" s="3"/>
      <c r="Y791" s="3"/>
      <c r="Z791" s="3"/>
    </row>
    <row r="792" spans="1:26" ht="12.75">
      <c r="A792" s="3"/>
      <c r="D792" s="22"/>
      <c r="E792" s="22"/>
      <c r="F792" s="22"/>
      <c r="G792" s="22"/>
      <c r="H792" s="22"/>
      <c r="I792" s="22"/>
      <c r="J792" s="22"/>
      <c r="K792" s="22"/>
      <c r="L792" s="22"/>
      <c r="M792" s="22"/>
      <c r="O792" s="3"/>
      <c r="V792" s="3"/>
      <c r="W792" s="3"/>
      <c r="X792" s="3"/>
      <c r="Y792" s="3"/>
      <c r="Z792" s="3"/>
    </row>
    <row r="793" spans="1:26" ht="12.75">
      <c r="A793" s="3"/>
      <c r="D793" s="22"/>
      <c r="E793" s="22"/>
      <c r="F793" s="22"/>
      <c r="G793" s="22"/>
      <c r="H793" s="22"/>
      <c r="I793" s="22"/>
      <c r="J793" s="22"/>
      <c r="K793" s="22"/>
      <c r="L793" s="22"/>
      <c r="M793" s="22"/>
      <c r="O793" s="3"/>
      <c r="V793" s="3"/>
      <c r="W793" s="3"/>
      <c r="X793" s="3"/>
      <c r="Y793" s="3"/>
      <c r="Z793" s="3"/>
    </row>
    <row r="794" spans="1:26" ht="12.75">
      <c r="A794" s="3"/>
      <c r="D794" s="22"/>
      <c r="E794" s="22"/>
      <c r="F794" s="22"/>
      <c r="G794" s="22"/>
      <c r="H794" s="22"/>
      <c r="I794" s="22"/>
      <c r="J794" s="22"/>
      <c r="K794" s="22"/>
      <c r="L794" s="22"/>
      <c r="M794" s="22"/>
      <c r="O794" s="3"/>
      <c r="V794" s="3"/>
      <c r="W794" s="3"/>
      <c r="X794" s="3"/>
      <c r="Y794" s="3"/>
      <c r="Z794" s="3"/>
    </row>
    <row r="795" spans="1:26" ht="12.75">
      <c r="A795" s="3"/>
      <c r="D795" s="22"/>
      <c r="E795" s="22"/>
      <c r="F795" s="22"/>
      <c r="G795" s="22"/>
      <c r="H795" s="22"/>
      <c r="I795" s="22"/>
      <c r="J795" s="22"/>
      <c r="K795" s="22"/>
      <c r="L795" s="22"/>
      <c r="M795" s="22"/>
      <c r="O795" s="3"/>
      <c r="V795" s="3"/>
      <c r="W795" s="3"/>
      <c r="X795" s="3"/>
      <c r="Y795" s="3"/>
      <c r="Z795" s="3"/>
    </row>
    <row r="796" spans="1:26" ht="12.75">
      <c r="A796" s="3"/>
      <c r="D796" s="22"/>
      <c r="E796" s="22"/>
      <c r="F796" s="22"/>
      <c r="G796" s="22"/>
      <c r="H796" s="22"/>
      <c r="I796" s="22"/>
      <c r="J796" s="22"/>
      <c r="K796" s="22"/>
      <c r="L796" s="22"/>
      <c r="M796" s="22"/>
      <c r="O796" s="3"/>
      <c r="V796" s="3"/>
      <c r="W796" s="3"/>
      <c r="X796" s="3"/>
      <c r="Y796" s="3"/>
      <c r="Z796" s="3"/>
    </row>
    <row r="797" spans="1:26" ht="12.75">
      <c r="A797" s="3"/>
      <c r="D797" s="22"/>
      <c r="E797" s="22"/>
      <c r="F797" s="22"/>
      <c r="G797" s="22"/>
      <c r="H797" s="22"/>
      <c r="I797" s="22"/>
      <c r="J797" s="22"/>
      <c r="K797" s="22"/>
      <c r="L797" s="22"/>
      <c r="M797" s="22"/>
      <c r="O797" s="3"/>
      <c r="V797" s="3"/>
      <c r="W797" s="3"/>
      <c r="X797" s="3"/>
      <c r="Y797" s="3"/>
      <c r="Z797" s="3"/>
    </row>
    <row r="798" spans="1:26" ht="12.75">
      <c r="A798" s="3"/>
      <c r="D798" s="22"/>
      <c r="E798" s="22"/>
      <c r="F798" s="22"/>
      <c r="G798" s="22"/>
      <c r="H798" s="22"/>
      <c r="I798" s="22"/>
      <c r="J798" s="22"/>
      <c r="K798" s="22"/>
      <c r="L798" s="22"/>
      <c r="M798" s="22"/>
      <c r="O798" s="3"/>
      <c r="V798" s="3"/>
      <c r="W798" s="3"/>
      <c r="X798" s="3"/>
      <c r="Y798" s="3"/>
      <c r="Z798" s="3"/>
    </row>
    <row r="799" spans="1:26" ht="12.75">
      <c r="A799" s="3"/>
      <c r="D799" s="22"/>
      <c r="E799" s="22"/>
      <c r="F799" s="22"/>
      <c r="G799" s="22"/>
      <c r="H799" s="22"/>
      <c r="I799" s="22"/>
      <c r="J799" s="22"/>
      <c r="K799" s="22"/>
      <c r="L799" s="22"/>
      <c r="M799" s="22"/>
      <c r="O799" s="3"/>
      <c r="V799" s="3"/>
      <c r="W799" s="3"/>
      <c r="X799" s="3"/>
      <c r="Y799" s="3"/>
      <c r="Z799" s="3"/>
    </row>
    <row r="800" spans="1:26" ht="12.75">
      <c r="A800" s="3"/>
      <c r="D800" s="22"/>
      <c r="E800" s="22"/>
      <c r="F800" s="22"/>
      <c r="G800" s="22"/>
      <c r="H800" s="22"/>
      <c r="I800" s="22"/>
      <c r="J800" s="22"/>
      <c r="K800" s="22"/>
      <c r="L800" s="22"/>
      <c r="M800" s="22"/>
      <c r="O800" s="3"/>
      <c r="V800" s="3"/>
      <c r="W800" s="3"/>
      <c r="X800" s="3"/>
      <c r="Y800" s="3"/>
      <c r="Z800" s="3"/>
    </row>
    <row r="801" spans="1:26" ht="12.75">
      <c r="A801" s="3"/>
      <c r="D801" s="22"/>
      <c r="E801" s="22"/>
      <c r="F801" s="22"/>
      <c r="G801" s="22"/>
      <c r="H801" s="22"/>
      <c r="I801" s="22"/>
      <c r="J801" s="22"/>
      <c r="K801" s="22"/>
      <c r="L801" s="22"/>
      <c r="M801" s="22"/>
      <c r="O801" s="3"/>
      <c r="V801" s="3"/>
      <c r="W801" s="3"/>
      <c r="X801" s="3"/>
      <c r="Y801" s="3"/>
      <c r="Z801" s="3"/>
    </row>
    <row r="802" spans="1:26" ht="12.75">
      <c r="A802" s="3"/>
      <c r="D802" s="22"/>
      <c r="E802" s="22"/>
      <c r="F802" s="22"/>
      <c r="G802" s="22"/>
      <c r="H802" s="22"/>
      <c r="I802" s="22"/>
      <c r="J802" s="22"/>
      <c r="K802" s="22"/>
      <c r="L802" s="22"/>
      <c r="M802" s="22"/>
      <c r="O802" s="3"/>
      <c r="V802" s="3"/>
      <c r="W802" s="3"/>
      <c r="X802" s="3"/>
      <c r="Y802" s="3"/>
      <c r="Z802" s="3"/>
    </row>
    <row r="803" spans="1:26" ht="12.75">
      <c r="A803" s="3"/>
      <c r="D803" s="22"/>
      <c r="E803" s="22"/>
      <c r="F803" s="22"/>
      <c r="G803" s="22"/>
      <c r="H803" s="22"/>
      <c r="I803" s="22"/>
      <c r="J803" s="22"/>
      <c r="K803" s="22"/>
      <c r="L803" s="22"/>
      <c r="M803" s="22"/>
      <c r="O803" s="3"/>
      <c r="V803" s="3"/>
      <c r="W803" s="3"/>
      <c r="X803" s="3"/>
      <c r="Y803" s="3"/>
      <c r="Z803" s="3"/>
    </row>
    <row r="804" spans="1:26" ht="12.75">
      <c r="A804" s="3"/>
      <c r="D804" s="22"/>
      <c r="E804" s="22"/>
      <c r="F804" s="22"/>
      <c r="G804" s="22"/>
      <c r="H804" s="22"/>
      <c r="I804" s="22"/>
      <c r="J804" s="22"/>
      <c r="K804" s="22"/>
      <c r="L804" s="22"/>
      <c r="M804" s="22"/>
      <c r="O804" s="3"/>
      <c r="V804" s="3"/>
      <c r="W804" s="3"/>
      <c r="X804" s="3"/>
      <c r="Y804" s="3"/>
      <c r="Z804" s="3"/>
    </row>
    <row r="805" spans="1:26" ht="12.75">
      <c r="A805" s="3"/>
      <c r="D805" s="22"/>
      <c r="E805" s="22"/>
      <c r="F805" s="22"/>
      <c r="G805" s="22"/>
      <c r="H805" s="22"/>
      <c r="I805" s="22"/>
      <c r="J805" s="22"/>
      <c r="K805" s="22"/>
      <c r="L805" s="22"/>
      <c r="M805" s="22"/>
      <c r="O805" s="3"/>
      <c r="V805" s="3"/>
      <c r="W805" s="3"/>
      <c r="X805" s="3"/>
      <c r="Y805" s="3"/>
      <c r="Z805" s="3"/>
    </row>
    <row r="806" spans="1:26" ht="12.75">
      <c r="A806" s="3"/>
      <c r="D806" s="22"/>
      <c r="E806" s="22"/>
      <c r="F806" s="22"/>
      <c r="G806" s="22"/>
      <c r="H806" s="22"/>
      <c r="I806" s="22"/>
      <c r="J806" s="22"/>
      <c r="K806" s="22"/>
      <c r="L806" s="22"/>
      <c r="M806" s="22"/>
      <c r="O806" s="3"/>
      <c r="V806" s="3"/>
      <c r="W806" s="3"/>
      <c r="X806" s="3"/>
      <c r="Y806" s="3"/>
      <c r="Z806" s="3"/>
    </row>
    <row r="807" spans="1:26" ht="12.75">
      <c r="A807" s="3"/>
      <c r="D807" s="22"/>
      <c r="E807" s="22"/>
      <c r="F807" s="22"/>
      <c r="G807" s="22"/>
      <c r="H807" s="22"/>
      <c r="I807" s="22"/>
      <c r="J807" s="22"/>
      <c r="K807" s="22"/>
      <c r="L807" s="22"/>
      <c r="M807" s="22"/>
      <c r="O807" s="3"/>
      <c r="V807" s="3"/>
      <c r="W807" s="3"/>
      <c r="X807" s="3"/>
      <c r="Y807" s="3"/>
      <c r="Z807" s="3"/>
    </row>
    <row r="808" spans="1:26" ht="12.75">
      <c r="A808" s="3"/>
      <c r="D808" s="22"/>
      <c r="E808" s="22"/>
      <c r="F808" s="22"/>
      <c r="G808" s="22"/>
      <c r="H808" s="22"/>
      <c r="I808" s="22"/>
      <c r="J808" s="22"/>
      <c r="K808" s="22"/>
      <c r="L808" s="22"/>
      <c r="M808" s="22"/>
      <c r="O808" s="3"/>
      <c r="V808" s="3"/>
      <c r="W808" s="3"/>
      <c r="X808" s="3"/>
      <c r="Y808" s="3"/>
      <c r="Z808" s="3"/>
    </row>
    <row r="809" spans="1:26" ht="12.75">
      <c r="A809" s="3"/>
      <c r="D809" s="22"/>
      <c r="E809" s="22"/>
      <c r="F809" s="22"/>
      <c r="G809" s="22"/>
      <c r="H809" s="22"/>
      <c r="I809" s="22"/>
      <c r="J809" s="22"/>
      <c r="K809" s="22"/>
      <c r="L809" s="22"/>
      <c r="M809" s="22"/>
      <c r="O809" s="3"/>
      <c r="V809" s="3"/>
      <c r="W809" s="3"/>
      <c r="X809" s="3"/>
      <c r="Y809" s="3"/>
      <c r="Z809" s="3"/>
    </row>
    <row r="810" spans="1:26" ht="12.75">
      <c r="A810" s="3"/>
      <c r="D810" s="22"/>
      <c r="E810" s="22"/>
      <c r="F810" s="22"/>
      <c r="G810" s="22"/>
      <c r="H810" s="22"/>
      <c r="I810" s="22"/>
      <c r="J810" s="22"/>
      <c r="K810" s="22"/>
      <c r="L810" s="22"/>
      <c r="M810" s="22"/>
      <c r="O810" s="3"/>
      <c r="V810" s="3"/>
      <c r="W810" s="3"/>
      <c r="X810" s="3"/>
      <c r="Y810" s="3"/>
      <c r="Z810" s="3"/>
    </row>
    <row r="811" spans="1:26" ht="12.75">
      <c r="A811" s="3"/>
      <c r="D811" s="22"/>
      <c r="E811" s="22"/>
      <c r="F811" s="22"/>
      <c r="G811" s="22"/>
      <c r="H811" s="22"/>
      <c r="I811" s="22"/>
      <c r="J811" s="22"/>
      <c r="K811" s="22"/>
      <c r="L811" s="22"/>
      <c r="M811" s="22"/>
      <c r="O811" s="3"/>
      <c r="V811" s="3"/>
      <c r="W811" s="3"/>
      <c r="X811" s="3"/>
      <c r="Y811" s="3"/>
      <c r="Z811" s="3"/>
    </row>
    <row r="812" spans="1:26" ht="12.75">
      <c r="A812" s="3"/>
      <c r="D812" s="22"/>
      <c r="E812" s="22"/>
      <c r="F812" s="22"/>
      <c r="G812" s="22"/>
      <c r="H812" s="22"/>
      <c r="I812" s="22"/>
      <c r="J812" s="22"/>
      <c r="K812" s="22"/>
      <c r="L812" s="22"/>
      <c r="M812" s="22"/>
      <c r="O812" s="3"/>
      <c r="V812" s="3"/>
      <c r="W812" s="3"/>
      <c r="X812" s="3"/>
      <c r="Y812" s="3"/>
      <c r="Z812" s="3"/>
    </row>
    <row r="813" spans="1:26" ht="12.75">
      <c r="A813" s="3"/>
      <c r="D813" s="22"/>
      <c r="E813" s="22"/>
      <c r="F813" s="22"/>
      <c r="G813" s="22"/>
      <c r="H813" s="22"/>
      <c r="I813" s="22"/>
      <c r="J813" s="22"/>
      <c r="K813" s="22"/>
      <c r="L813" s="22"/>
      <c r="M813" s="22"/>
      <c r="O813" s="3"/>
      <c r="V813" s="3"/>
      <c r="W813" s="3"/>
      <c r="X813" s="3"/>
      <c r="Y813" s="3"/>
      <c r="Z813" s="3"/>
    </row>
    <row r="814" spans="1:26" ht="12.75">
      <c r="A814" s="3"/>
      <c r="D814" s="22"/>
      <c r="E814" s="22"/>
      <c r="F814" s="22"/>
      <c r="G814" s="22"/>
      <c r="H814" s="22"/>
      <c r="I814" s="22"/>
      <c r="J814" s="22"/>
      <c r="K814" s="22"/>
      <c r="L814" s="22"/>
      <c r="M814" s="22"/>
      <c r="O814" s="3"/>
      <c r="V814" s="3"/>
      <c r="W814" s="3"/>
      <c r="X814" s="3"/>
      <c r="Y814" s="3"/>
      <c r="Z814" s="3"/>
    </row>
    <row r="815" spans="1:26" ht="12.75">
      <c r="A815" s="3"/>
      <c r="D815" s="22"/>
      <c r="E815" s="22"/>
      <c r="F815" s="22"/>
      <c r="G815" s="22"/>
      <c r="H815" s="22"/>
      <c r="I815" s="22"/>
      <c r="J815" s="22"/>
      <c r="K815" s="22"/>
      <c r="L815" s="22"/>
      <c r="M815" s="22"/>
      <c r="O815" s="3"/>
      <c r="V815" s="3"/>
      <c r="W815" s="3"/>
      <c r="X815" s="3"/>
      <c r="Y815" s="3"/>
      <c r="Z815" s="3"/>
    </row>
    <row r="816" spans="1:26" ht="12.75">
      <c r="A816" s="3"/>
      <c r="D816" s="22"/>
      <c r="E816" s="22"/>
      <c r="F816" s="22"/>
      <c r="G816" s="22"/>
      <c r="H816" s="22"/>
      <c r="I816" s="22"/>
      <c r="J816" s="22"/>
      <c r="K816" s="22"/>
      <c r="L816" s="22"/>
      <c r="M816" s="22"/>
      <c r="O816" s="3"/>
      <c r="V816" s="3"/>
      <c r="W816" s="3"/>
      <c r="X816" s="3"/>
      <c r="Y816" s="3"/>
      <c r="Z816" s="3"/>
    </row>
    <row r="817" spans="1:26" ht="12.75">
      <c r="A817" s="3"/>
      <c r="D817" s="22"/>
      <c r="E817" s="22"/>
      <c r="F817" s="22"/>
      <c r="G817" s="22"/>
      <c r="H817" s="22"/>
      <c r="I817" s="22"/>
      <c r="J817" s="22"/>
      <c r="K817" s="22"/>
      <c r="L817" s="22"/>
      <c r="M817" s="22"/>
      <c r="O817" s="3"/>
      <c r="V817" s="3"/>
      <c r="W817" s="3"/>
      <c r="X817" s="3"/>
      <c r="Y817" s="3"/>
      <c r="Z817" s="3"/>
    </row>
    <row r="818" spans="1:26" ht="12.75">
      <c r="A818" s="3"/>
      <c r="D818" s="22"/>
      <c r="E818" s="22"/>
      <c r="F818" s="22"/>
      <c r="G818" s="22"/>
      <c r="H818" s="22"/>
      <c r="I818" s="22"/>
      <c r="J818" s="22"/>
      <c r="K818" s="22"/>
      <c r="L818" s="22"/>
      <c r="M818" s="22"/>
      <c r="O818" s="3"/>
      <c r="V818" s="3"/>
      <c r="W818" s="3"/>
      <c r="X818" s="3"/>
      <c r="Y818" s="3"/>
      <c r="Z818" s="3"/>
    </row>
    <row r="819" spans="1:26" ht="12.75">
      <c r="A819" s="3"/>
      <c r="D819" s="22"/>
      <c r="E819" s="22"/>
      <c r="F819" s="22"/>
      <c r="G819" s="22"/>
      <c r="H819" s="22"/>
      <c r="I819" s="22"/>
      <c r="J819" s="22"/>
      <c r="K819" s="22"/>
      <c r="L819" s="22"/>
      <c r="M819" s="22"/>
      <c r="O819" s="3"/>
      <c r="V819" s="3"/>
      <c r="W819" s="3"/>
      <c r="X819" s="3"/>
      <c r="Y819" s="3"/>
      <c r="Z819" s="3"/>
    </row>
    <row r="820" spans="1:26" ht="12.75">
      <c r="A820" s="3"/>
      <c r="D820" s="22"/>
      <c r="E820" s="22"/>
      <c r="F820" s="22"/>
      <c r="G820" s="22"/>
      <c r="H820" s="22"/>
      <c r="I820" s="22"/>
      <c r="J820" s="22"/>
      <c r="K820" s="22"/>
      <c r="L820" s="22"/>
      <c r="M820" s="22"/>
      <c r="O820" s="3"/>
      <c r="V820" s="3"/>
      <c r="W820" s="3"/>
      <c r="X820" s="3"/>
      <c r="Y820" s="3"/>
      <c r="Z820" s="3"/>
    </row>
    <row r="821" spans="1:26" ht="12.75">
      <c r="A821" s="3"/>
      <c r="D821" s="22"/>
      <c r="E821" s="22"/>
      <c r="F821" s="22"/>
      <c r="G821" s="22"/>
      <c r="H821" s="22"/>
      <c r="I821" s="22"/>
      <c r="J821" s="22"/>
      <c r="K821" s="22"/>
      <c r="L821" s="22"/>
      <c r="M821" s="22"/>
      <c r="O821" s="3"/>
      <c r="V821" s="3"/>
      <c r="W821" s="3"/>
      <c r="X821" s="3"/>
      <c r="Y821" s="3"/>
      <c r="Z821" s="3"/>
    </row>
    <row r="822" spans="1:26" ht="12.75">
      <c r="A822" s="3"/>
      <c r="D822" s="22"/>
      <c r="E822" s="22"/>
      <c r="F822" s="22"/>
      <c r="G822" s="22"/>
      <c r="H822" s="22"/>
      <c r="I822" s="22"/>
      <c r="J822" s="22"/>
      <c r="K822" s="22"/>
      <c r="L822" s="22"/>
      <c r="M822" s="22"/>
      <c r="O822" s="3"/>
      <c r="V822" s="3"/>
      <c r="W822" s="3"/>
      <c r="X822" s="3"/>
      <c r="Y822" s="3"/>
      <c r="Z822" s="3"/>
    </row>
    <row r="823" spans="1:26" ht="12.75">
      <c r="A823" s="3"/>
      <c r="D823" s="22"/>
      <c r="E823" s="22"/>
      <c r="F823" s="22"/>
      <c r="G823" s="22"/>
      <c r="H823" s="22"/>
      <c r="I823" s="22"/>
      <c r="J823" s="22"/>
      <c r="K823" s="22"/>
      <c r="L823" s="22"/>
      <c r="M823" s="22"/>
      <c r="O823" s="3"/>
      <c r="V823" s="3"/>
      <c r="W823" s="3"/>
      <c r="X823" s="3"/>
      <c r="Y823" s="3"/>
      <c r="Z823" s="3"/>
    </row>
    <row r="824" spans="1:26" ht="12.75">
      <c r="A824" s="3"/>
      <c r="D824" s="22"/>
      <c r="E824" s="22"/>
      <c r="F824" s="22"/>
      <c r="G824" s="22"/>
      <c r="H824" s="22"/>
      <c r="I824" s="22"/>
      <c r="J824" s="22"/>
      <c r="K824" s="22"/>
      <c r="L824" s="22"/>
      <c r="M824" s="22"/>
      <c r="O824" s="3"/>
      <c r="V824" s="3"/>
      <c r="W824" s="3"/>
      <c r="X824" s="3"/>
      <c r="Y824" s="3"/>
      <c r="Z824" s="3"/>
    </row>
    <row r="825" spans="1:26" ht="12.75">
      <c r="A825" s="3"/>
      <c r="D825" s="22"/>
      <c r="E825" s="22"/>
      <c r="F825" s="22"/>
      <c r="G825" s="22"/>
      <c r="H825" s="22"/>
      <c r="I825" s="22"/>
      <c r="J825" s="22"/>
      <c r="K825" s="22"/>
      <c r="L825" s="22"/>
      <c r="M825" s="22"/>
      <c r="O825" s="3"/>
      <c r="V825" s="3"/>
      <c r="W825" s="3"/>
      <c r="X825" s="3"/>
      <c r="Y825" s="3"/>
      <c r="Z825" s="3"/>
    </row>
    <row r="826" spans="1:26" ht="12.75">
      <c r="A826" s="3"/>
      <c r="D826" s="22"/>
      <c r="E826" s="22"/>
      <c r="F826" s="22"/>
      <c r="G826" s="22"/>
      <c r="H826" s="22"/>
      <c r="I826" s="22"/>
      <c r="J826" s="22"/>
      <c r="K826" s="22"/>
      <c r="L826" s="22"/>
      <c r="M826" s="22"/>
      <c r="O826" s="3"/>
      <c r="V826" s="3"/>
      <c r="W826" s="3"/>
      <c r="X826" s="3"/>
      <c r="Y826" s="3"/>
      <c r="Z826" s="3"/>
    </row>
    <row r="827" spans="1:26" ht="12.75">
      <c r="A827" s="3"/>
      <c r="D827" s="22"/>
      <c r="E827" s="22"/>
      <c r="F827" s="22"/>
      <c r="G827" s="22"/>
      <c r="H827" s="22"/>
      <c r="I827" s="22"/>
      <c r="J827" s="22"/>
      <c r="K827" s="22"/>
      <c r="L827" s="22"/>
      <c r="M827" s="22"/>
      <c r="O827" s="3"/>
      <c r="V827" s="3"/>
      <c r="W827" s="3"/>
      <c r="X827" s="3"/>
      <c r="Y827" s="3"/>
      <c r="Z827" s="3"/>
    </row>
    <row r="828" spans="1:26" ht="12.75">
      <c r="A828" s="3"/>
      <c r="D828" s="22"/>
      <c r="E828" s="22"/>
      <c r="F828" s="22"/>
      <c r="G828" s="22"/>
      <c r="H828" s="22"/>
      <c r="I828" s="22"/>
      <c r="J828" s="22"/>
      <c r="K828" s="22"/>
      <c r="L828" s="22"/>
      <c r="M828" s="22"/>
      <c r="O828" s="3"/>
      <c r="V828" s="3"/>
      <c r="W828" s="3"/>
      <c r="X828" s="3"/>
      <c r="Y828" s="3"/>
      <c r="Z828" s="3"/>
    </row>
    <row r="829" spans="1:26" ht="12.75">
      <c r="A829" s="3"/>
      <c r="D829" s="22"/>
      <c r="E829" s="22"/>
      <c r="F829" s="22"/>
      <c r="G829" s="22"/>
      <c r="H829" s="22"/>
      <c r="I829" s="22"/>
      <c r="J829" s="22"/>
      <c r="K829" s="22"/>
      <c r="L829" s="22"/>
      <c r="M829" s="22"/>
      <c r="O829" s="3"/>
      <c r="V829" s="3"/>
      <c r="W829" s="3"/>
      <c r="X829" s="3"/>
      <c r="Y829" s="3"/>
      <c r="Z829" s="3"/>
    </row>
    <row r="830" spans="1:26" ht="12.75">
      <c r="A830" s="3"/>
      <c r="D830" s="22"/>
      <c r="E830" s="22"/>
      <c r="F830" s="22"/>
      <c r="G830" s="22"/>
      <c r="H830" s="22"/>
      <c r="I830" s="22"/>
      <c r="J830" s="22"/>
      <c r="K830" s="22"/>
      <c r="L830" s="22"/>
      <c r="M830" s="22"/>
      <c r="O830" s="3"/>
      <c r="V830" s="3"/>
      <c r="W830" s="3"/>
      <c r="X830" s="3"/>
      <c r="Y830" s="3"/>
      <c r="Z830" s="3"/>
    </row>
    <row r="831" spans="1:26" ht="12.75">
      <c r="A831" s="3"/>
      <c r="D831" s="22"/>
      <c r="E831" s="22"/>
      <c r="F831" s="22"/>
      <c r="G831" s="22"/>
      <c r="H831" s="22"/>
      <c r="I831" s="22"/>
      <c r="J831" s="22"/>
      <c r="K831" s="22"/>
      <c r="L831" s="22"/>
      <c r="M831" s="22"/>
      <c r="O831" s="3"/>
      <c r="V831" s="3"/>
      <c r="W831" s="3"/>
      <c r="X831" s="3"/>
      <c r="Y831" s="3"/>
      <c r="Z831" s="3"/>
    </row>
    <row r="832" spans="1:26" ht="12.75">
      <c r="A832" s="3"/>
      <c r="D832" s="22"/>
      <c r="E832" s="22"/>
      <c r="F832" s="22"/>
      <c r="G832" s="22"/>
      <c r="H832" s="22"/>
      <c r="I832" s="22"/>
      <c r="J832" s="22"/>
      <c r="K832" s="22"/>
      <c r="L832" s="22"/>
      <c r="M832" s="22"/>
      <c r="O832" s="3"/>
      <c r="V832" s="3"/>
      <c r="W832" s="3"/>
      <c r="X832" s="3"/>
      <c r="Y832" s="3"/>
      <c r="Z832" s="3"/>
    </row>
    <row r="833" spans="1:26" ht="12.75">
      <c r="A833" s="3"/>
      <c r="D833" s="22"/>
      <c r="E833" s="22"/>
      <c r="F833" s="22"/>
      <c r="G833" s="22"/>
      <c r="H833" s="22"/>
      <c r="I833" s="22"/>
      <c r="J833" s="22"/>
      <c r="K833" s="22"/>
      <c r="L833" s="22"/>
      <c r="M833" s="22"/>
      <c r="O833" s="3"/>
      <c r="V833" s="3"/>
      <c r="W833" s="3"/>
      <c r="X833" s="3"/>
      <c r="Y833" s="3"/>
      <c r="Z833" s="3"/>
    </row>
    <row r="834" spans="1:26" ht="12.75">
      <c r="A834" s="3"/>
      <c r="D834" s="22"/>
      <c r="E834" s="22"/>
      <c r="F834" s="22"/>
      <c r="G834" s="22"/>
      <c r="H834" s="22"/>
      <c r="I834" s="22"/>
      <c r="J834" s="22"/>
      <c r="K834" s="22"/>
      <c r="L834" s="22"/>
      <c r="M834" s="22"/>
      <c r="O834" s="3"/>
      <c r="V834" s="3"/>
      <c r="W834" s="3"/>
      <c r="X834" s="3"/>
      <c r="Y834" s="3"/>
      <c r="Z834" s="3"/>
    </row>
    <row r="835" spans="1:26" ht="12.75">
      <c r="A835" s="3"/>
      <c r="D835" s="22"/>
      <c r="E835" s="22"/>
      <c r="F835" s="22"/>
      <c r="G835" s="22"/>
      <c r="H835" s="22"/>
      <c r="I835" s="22"/>
      <c r="J835" s="22"/>
      <c r="K835" s="22"/>
      <c r="L835" s="22"/>
      <c r="M835" s="22"/>
      <c r="O835" s="3"/>
      <c r="V835" s="3"/>
      <c r="W835" s="3"/>
      <c r="X835" s="3"/>
      <c r="Y835" s="3"/>
      <c r="Z835" s="3"/>
    </row>
    <row r="836" spans="1:26" ht="12.75">
      <c r="A836" s="3"/>
      <c r="D836" s="22"/>
      <c r="E836" s="22"/>
      <c r="F836" s="22"/>
      <c r="G836" s="22"/>
      <c r="H836" s="22"/>
      <c r="I836" s="22"/>
      <c r="J836" s="22"/>
      <c r="K836" s="22"/>
      <c r="L836" s="22"/>
      <c r="M836" s="22"/>
      <c r="O836" s="3"/>
      <c r="V836" s="3"/>
      <c r="W836" s="3"/>
      <c r="X836" s="3"/>
      <c r="Y836" s="3"/>
      <c r="Z836" s="3"/>
    </row>
    <row r="837" spans="1:26" ht="12.75">
      <c r="A837" s="3"/>
      <c r="D837" s="22"/>
      <c r="E837" s="22"/>
      <c r="F837" s="22"/>
      <c r="G837" s="22"/>
      <c r="H837" s="22"/>
      <c r="I837" s="22"/>
      <c r="J837" s="22"/>
      <c r="K837" s="22"/>
      <c r="L837" s="22"/>
      <c r="M837" s="22"/>
      <c r="O837" s="3"/>
      <c r="V837" s="3"/>
      <c r="W837" s="3"/>
      <c r="X837" s="3"/>
      <c r="Y837" s="3"/>
      <c r="Z837" s="3"/>
    </row>
    <row r="838" spans="1:26" ht="12.75">
      <c r="A838" s="3"/>
      <c r="D838" s="22"/>
      <c r="E838" s="22"/>
      <c r="F838" s="22"/>
      <c r="G838" s="22"/>
      <c r="H838" s="22"/>
      <c r="I838" s="22"/>
      <c r="J838" s="22"/>
      <c r="K838" s="22"/>
      <c r="L838" s="22"/>
      <c r="M838" s="22"/>
      <c r="O838" s="3"/>
      <c r="V838" s="3"/>
      <c r="W838" s="3"/>
      <c r="X838" s="3"/>
      <c r="Y838" s="3"/>
      <c r="Z838" s="3"/>
    </row>
    <row r="839" spans="1:26" ht="12.75">
      <c r="A839" s="3"/>
      <c r="D839" s="22"/>
      <c r="E839" s="22"/>
      <c r="F839" s="22"/>
      <c r="G839" s="22"/>
      <c r="H839" s="22"/>
      <c r="I839" s="22"/>
      <c r="J839" s="22"/>
      <c r="K839" s="22"/>
      <c r="L839" s="22"/>
      <c r="M839" s="22"/>
      <c r="O839" s="3"/>
      <c r="V839" s="3"/>
      <c r="W839" s="3"/>
      <c r="X839" s="3"/>
      <c r="Y839" s="3"/>
      <c r="Z839" s="3"/>
    </row>
    <row r="840" spans="1:26" ht="12.75">
      <c r="A840" s="3"/>
      <c r="D840" s="22"/>
      <c r="E840" s="22"/>
      <c r="F840" s="22"/>
      <c r="G840" s="22"/>
      <c r="H840" s="22"/>
      <c r="I840" s="22"/>
      <c r="J840" s="22"/>
      <c r="K840" s="22"/>
      <c r="L840" s="22"/>
      <c r="M840" s="22"/>
      <c r="O840" s="3"/>
      <c r="V840" s="3"/>
      <c r="W840" s="3"/>
      <c r="X840" s="3"/>
      <c r="Y840" s="3"/>
      <c r="Z840" s="3"/>
    </row>
    <row r="841" spans="1:26" ht="12.75">
      <c r="A841" s="3"/>
      <c r="D841" s="22"/>
      <c r="E841" s="22"/>
      <c r="F841" s="22"/>
      <c r="G841" s="22"/>
      <c r="H841" s="22"/>
      <c r="I841" s="22"/>
      <c r="J841" s="22"/>
      <c r="K841" s="22"/>
      <c r="L841" s="22"/>
      <c r="M841" s="22"/>
      <c r="O841" s="3"/>
      <c r="V841" s="3"/>
      <c r="W841" s="3"/>
      <c r="X841" s="3"/>
      <c r="Y841" s="3"/>
      <c r="Z841" s="3"/>
    </row>
    <row r="842" spans="1:26" ht="12.75">
      <c r="A842" s="3"/>
      <c r="D842" s="22"/>
      <c r="E842" s="22"/>
      <c r="F842" s="22"/>
      <c r="G842" s="22"/>
      <c r="H842" s="22"/>
      <c r="I842" s="22"/>
      <c r="J842" s="22"/>
      <c r="K842" s="22"/>
      <c r="L842" s="22"/>
      <c r="M842" s="22"/>
      <c r="O842" s="3"/>
      <c r="V842" s="3"/>
      <c r="W842" s="3"/>
      <c r="X842" s="3"/>
      <c r="Y842" s="3"/>
      <c r="Z842" s="3"/>
    </row>
    <row r="843" spans="1:26" ht="12.75">
      <c r="A843" s="3"/>
      <c r="D843" s="22"/>
      <c r="E843" s="22"/>
      <c r="F843" s="22"/>
      <c r="G843" s="22"/>
      <c r="H843" s="22"/>
      <c r="I843" s="22"/>
      <c r="J843" s="22"/>
      <c r="K843" s="22"/>
      <c r="L843" s="22"/>
      <c r="M843" s="22"/>
      <c r="O843" s="3"/>
      <c r="V843" s="3"/>
      <c r="W843" s="3"/>
      <c r="X843" s="3"/>
      <c r="Y843" s="3"/>
      <c r="Z843" s="3"/>
    </row>
    <row r="844" spans="1:26" ht="12.75">
      <c r="A844" s="3"/>
      <c r="D844" s="22"/>
      <c r="E844" s="22"/>
      <c r="F844" s="22"/>
      <c r="G844" s="22"/>
      <c r="H844" s="22"/>
      <c r="I844" s="22"/>
      <c r="J844" s="22"/>
      <c r="K844" s="22"/>
      <c r="L844" s="22"/>
      <c r="M844" s="22"/>
      <c r="O844" s="3"/>
      <c r="V844" s="3"/>
      <c r="W844" s="3"/>
      <c r="X844" s="3"/>
      <c r="Y844" s="3"/>
      <c r="Z844" s="3"/>
    </row>
    <row r="845" spans="1:26" ht="12.75">
      <c r="A845" s="3"/>
      <c r="D845" s="22"/>
      <c r="E845" s="22"/>
      <c r="F845" s="22"/>
      <c r="G845" s="22"/>
      <c r="H845" s="22"/>
      <c r="I845" s="22"/>
      <c r="J845" s="22"/>
      <c r="K845" s="22"/>
      <c r="L845" s="22"/>
      <c r="M845" s="22"/>
      <c r="O845" s="3"/>
      <c r="V845" s="3"/>
      <c r="W845" s="3"/>
      <c r="X845" s="3"/>
      <c r="Y845" s="3"/>
      <c r="Z845" s="3"/>
    </row>
    <row r="846" spans="1:26" ht="12.75">
      <c r="A846" s="3"/>
      <c r="D846" s="22"/>
      <c r="E846" s="22"/>
      <c r="F846" s="22"/>
      <c r="G846" s="22"/>
      <c r="H846" s="22"/>
      <c r="I846" s="22"/>
      <c r="J846" s="22"/>
      <c r="K846" s="22"/>
      <c r="L846" s="22"/>
      <c r="M846" s="22"/>
      <c r="O846" s="3"/>
      <c r="V846" s="3"/>
      <c r="W846" s="3"/>
      <c r="X846" s="3"/>
      <c r="Y846" s="3"/>
      <c r="Z846" s="3"/>
    </row>
    <row r="847" spans="1:26" ht="12.75">
      <c r="A847" s="3"/>
      <c r="D847" s="22"/>
      <c r="E847" s="22"/>
      <c r="F847" s="22"/>
      <c r="G847" s="22"/>
      <c r="H847" s="22"/>
      <c r="I847" s="22"/>
      <c r="J847" s="22"/>
      <c r="K847" s="22"/>
      <c r="L847" s="22"/>
      <c r="M847" s="22"/>
      <c r="O847" s="3"/>
      <c r="V847" s="3"/>
      <c r="W847" s="3"/>
      <c r="X847" s="3"/>
      <c r="Y847" s="3"/>
      <c r="Z847" s="3"/>
    </row>
    <row r="848" spans="1:26" ht="12.75">
      <c r="A848" s="3"/>
      <c r="D848" s="22"/>
      <c r="E848" s="22"/>
      <c r="F848" s="22"/>
      <c r="G848" s="22"/>
      <c r="H848" s="22"/>
      <c r="I848" s="22"/>
      <c r="J848" s="22"/>
      <c r="K848" s="22"/>
      <c r="L848" s="22"/>
      <c r="M848" s="22"/>
      <c r="O848" s="3"/>
      <c r="V848" s="3"/>
      <c r="W848" s="3"/>
      <c r="X848" s="3"/>
      <c r="Y848" s="3"/>
      <c r="Z848" s="3"/>
    </row>
    <row r="849" spans="1:26" ht="12.75">
      <c r="A849" s="3"/>
      <c r="D849" s="22"/>
      <c r="E849" s="22"/>
      <c r="F849" s="22"/>
      <c r="G849" s="22"/>
      <c r="H849" s="22"/>
      <c r="I849" s="22"/>
      <c r="J849" s="22"/>
      <c r="K849" s="22"/>
      <c r="L849" s="22"/>
      <c r="M849" s="22"/>
      <c r="O849" s="3"/>
      <c r="V849" s="3"/>
      <c r="W849" s="3"/>
      <c r="X849" s="3"/>
      <c r="Y849" s="3"/>
      <c r="Z849" s="3"/>
    </row>
    <row r="850" spans="1:26" ht="12.75">
      <c r="A850" s="3"/>
      <c r="D850" s="22"/>
      <c r="E850" s="22"/>
      <c r="F850" s="22"/>
      <c r="G850" s="22"/>
      <c r="H850" s="22"/>
      <c r="I850" s="22"/>
      <c r="J850" s="22"/>
      <c r="K850" s="22"/>
      <c r="L850" s="22"/>
      <c r="M850" s="22"/>
      <c r="O850" s="3"/>
      <c r="V850" s="3"/>
      <c r="W850" s="3"/>
      <c r="X850" s="3"/>
      <c r="Y850" s="3"/>
      <c r="Z850" s="3"/>
    </row>
    <row r="851" spans="1:26" ht="12.75">
      <c r="A851" s="3"/>
      <c r="D851" s="22"/>
      <c r="E851" s="22"/>
      <c r="F851" s="22"/>
      <c r="G851" s="22"/>
      <c r="H851" s="22"/>
      <c r="I851" s="22"/>
      <c r="J851" s="22"/>
      <c r="K851" s="22"/>
      <c r="L851" s="22"/>
      <c r="M851" s="22"/>
      <c r="O851" s="3"/>
      <c r="V851" s="3"/>
      <c r="W851" s="3"/>
      <c r="X851" s="3"/>
      <c r="Y851" s="3"/>
      <c r="Z851" s="3"/>
    </row>
    <row r="852" spans="1:26" ht="12.75">
      <c r="A852" s="3"/>
      <c r="D852" s="22"/>
      <c r="E852" s="22"/>
      <c r="F852" s="22"/>
      <c r="G852" s="22"/>
      <c r="H852" s="22"/>
      <c r="I852" s="22"/>
      <c r="J852" s="22"/>
      <c r="K852" s="22"/>
      <c r="L852" s="22"/>
      <c r="M852" s="22"/>
      <c r="O852" s="3"/>
      <c r="V852" s="3"/>
      <c r="W852" s="3"/>
      <c r="X852" s="3"/>
      <c r="Y852" s="3"/>
      <c r="Z852" s="3"/>
    </row>
    <row r="853" spans="1:26" ht="12.75">
      <c r="A853" s="3"/>
      <c r="D853" s="22"/>
      <c r="E853" s="22"/>
      <c r="F853" s="22"/>
      <c r="G853" s="22"/>
      <c r="H853" s="22"/>
      <c r="I853" s="22"/>
      <c r="J853" s="22"/>
      <c r="K853" s="22"/>
      <c r="L853" s="22"/>
      <c r="M853" s="22"/>
      <c r="O853" s="3"/>
      <c r="V853" s="3"/>
      <c r="W853" s="3"/>
      <c r="X853" s="3"/>
      <c r="Y853" s="3"/>
      <c r="Z853" s="3"/>
    </row>
    <row r="854" spans="1:26" ht="12.75">
      <c r="A854" s="3"/>
      <c r="D854" s="22"/>
      <c r="E854" s="22"/>
      <c r="F854" s="22"/>
      <c r="G854" s="22"/>
      <c r="H854" s="22"/>
      <c r="I854" s="22"/>
      <c r="J854" s="22"/>
      <c r="K854" s="22"/>
      <c r="L854" s="22"/>
      <c r="M854" s="22"/>
      <c r="O854" s="3"/>
      <c r="V854" s="3"/>
      <c r="W854" s="3"/>
      <c r="X854" s="3"/>
      <c r="Y854" s="3"/>
      <c r="Z854" s="3"/>
    </row>
    <row r="855" spans="1:26" ht="12.75">
      <c r="A855" s="3"/>
      <c r="D855" s="22"/>
      <c r="E855" s="22"/>
      <c r="F855" s="22"/>
      <c r="G855" s="22"/>
      <c r="H855" s="22"/>
      <c r="I855" s="22"/>
      <c r="J855" s="22"/>
      <c r="K855" s="22"/>
      <c r="L855" s="22"/>
      <c r="M855" s="22"/>
      <c r="O855" s="3"/>
      <c r="V855" s="3"/>
      <c r="W855" s="3"/>
      <c r="X855" s="3"/>
      <c r="Y855" s="3"/>
      <c r="Z855" s="3"/>
    </row>
    <row r="856" spans="1:26" ht="12.75">
      <c r="A856" s="3"/>
      <c r="D856" s="22"/>
      <c r="E856" s="22"/>
      <c r="F856" s="22"/>
      <c r="G856" s="22"/>
      <c r="H856" s="22"/>
      <c r="I856" s="22"/>
      <c r="J856" s="22"/>
      <c r="K856" s="22"/>
      <c r="L856" s="22"/>
      <c r="M856" s="22"/>
      <c r="O856" s="3"/>
      <c r="V856" s="3"/>
      <c r="W856" s="3"/>
      <c r="X856" s="3"/>
      <c r="Y856" s="3"/>
      <c r="Z856" s="3"/>
    </row>
    <row r="857" spans="1:26" ht="12.75">
      <c r="A857" s="3"/>
      <c r="D857" s="22"/>
      <c r="E857" s="22"/>
      <c r="F857" s="22"/>
      <c r="G857" s="22"/>
      <c r="H857" s="22"/>
      <c r="I857" s="22"/>
      <c r="J857" s="22"/>
      <c r="K857" s="22"/>
      <c r="L857" s="22"/>
      <c r="M857" s="22"/>
      <c r="O857" s="3"/>
      <c r="V857" s="3"/>
      <c r="W857" s="3"/>
      <c r="X857" s="3"/>
      <c r="Y857" s="3"/>
      <c r="Z857" s="3"/>
    </row>
    <row r="858" spans="1:26" ht="12.75">
      <c r="A858" s="3"/>
      <c r="D858" s="22"/>
      <c r="E858" s="22"/>
      <c r="F858" s="22"/>
      <c r="G858" s="22"/>
      <c r="H858" s="22"/>
      <c r="I858" s="22"/>
      <c r="J858" s="22"/>
      <c r="K858" s="22"/>
      <c r="L858" s="22"/>
      <c r="M858" s="22"/>
      <c r="O858" s="3"/>
      <c r="V858" s="3"/>
      <c r="W858" s="3"/>
      <c r="X858" s="3"/>
      <c r="Y858" s="3"/>
      <c r="Z858" s="3"/>
    </row>
    <row r="859" spans="1:26" ht="12.75">
      <c r="A859" s="3"/>
      <c r="D859" s="22"/>
      <c r="E859" s="22"/>
      <c r="F859" s="22"/>
      <c r="G859" s="22"/>
      <c r="H859" s="22"/>
      <c r="I859" s="22"/>
      <c r="J859" s="22"/>
      <c r="K859" s="22"/>
      <c r="L859" s="22"/>
      <c r="M859" s="22"/>
      <c r="O859" s="3"/>
      <c r="V859" s="3"/>
      <c r="W859" s="3"/>
      <c r="X859" s="3"/>
      <c r="Y859" s="3"/>
      <c r="Z859" s="3"/>
    </row>
    <row r="860" spans="1:26" ht="12.75">
      <c r="A860" s="3"/>
      <c r="D860" s="22"/>
      <c r="E860" s="22"/>
      <c r="F860" s="22"/>
      <c r="G860" s="22"/>
      <c r="H860" s="22"/>
      <c r="I860" s="22"/>
      <c r="J860" s="22"/>
      <c r="K860" s="22"/>
      <c r="L860" s="22"/>
      <c r="M860" s="22"/>
      <c r="O860" s="3"/>
      <c r="V860" s="3"/>
      <c r="W860" s="3"/>
      <c r="X860" s="3"/>
      <c r="Y860" s="3"/>
      <c r="Z860" s="3"/>
    </row>
    <row r="861" spans="1:26" ht="12.75">
      <c r="A861" s="3"/>
      <c r="D861" s="22"/>
      <c r="E861" s="22"/>
      <c r="F861" s="22"/>
      <c r="G861" s="22"/>
      <c r="H861" s="22"/>
      <c r="I861" s="22"/>
      <c r="J861" s="22"/>
      <c r="K861" s="22"/>
      <c r="L861" s="22"/>
      <c r="M861" s="22"/>
      <c r="O861" s="3"/>
      <c r="V861" s="3"/>
      <c r="W861" s="3"/>
      <c r="X861" s="3"/>
      <c r="Y861" s="3"/>
      <c r="Z861" s="3"/>
    </row>
    <row r="862" spans="1:26" ht="12.75">
      <c r="A862" s="3"/>
      <c r="D862" s="22"/>
      <c r="E862" s="22"/>
      <c r="F862" s="22"/>
      <c r="G862" s="22"/>
      <c r="H862" s="22"/>
      <c r="I862" s="22"/>
      <c r="J862" s="22"/>
      <c r="K862" s="22"/>
      <c r="L862" s="22"/>
      <c r="M862" s="22"/>
      <c r="O862" s="3"/>
      <c r="V862" s="3"/>
      <c r="W862" s="3"/>
      <c r="X862" s="3"/>
      <c r="Y862" s="3"/>
      <c r="Z862" s="3"/>
    </row>
    <row r="863" spans="1:26" ht="12.75">
      <c r="A863" s="3"/>
      <c r="D863" s="22"/>
      <c r="E863" s="22"/>
      <c r="F863" s="22"/>
      <c r="G863" s="22"/>
      <c r="H863" s="22"/>
      <c r="I863" s="22"/>
      <c r="J863" s="22"/>
      <c r="K863" s="22"/>
      <c r="L863" s="22"/>
      <c r="M863" s="22"/>
      <c r="O863" s="3"/>
      <c r="V863" s="3"/>
      <c r="W863" s="3"/>
      <c r="X863" s="3"/>
      <c r="Y863" s="3"/>
      <c r="Z863" s="3"/>
    </row>
    <row r="864" spans="1:26" ht="12.75">
      <c r="A864" s="3"/>
      <c r="D864" s="22"/>
      <c r="E864" s="22"/>
      <c r="F864" s="22"/>
      <c r="G864" s="22"/>
      <c r="H864" s="22"/>
      <c r="I864" s="22"/>
      <c r="J864" s="22"/>
      <c r="K864" s="22"/>
      <c r="L864" s="22"/>
      <c r="M864" s="22"/>
      <c r="O864" s="3"/>
      <c r="V864" s="3"/>
      <c r="W864" s="3"/>
      <c r="X864" s="3"/>
      <c r="Y864" s="3"/>
      <c r="Z864" s="3"/>
    </row>
    <row r="865" spans="1:26" ht="12.75">
      <c r="A865" s="3"/>
      <c r="D865" s="22"/>
      <c r="E865" s="22"/>
      <c r="F865" s="22"/>
      <c r="G865" s="22"/>
      <c r="H865" s="22"/>
      <c r="I865" s="22"/>
      <c r="J865" s="22"/>
      <c r="K865" s="22"/>
      <c r="L865" s="22"/>
      <c r="M865" s="22"/>
      <c r="O865" s="3"/>
      <c r="V865" s="3"/>
      <c r="W865" s="3"/>
      <c r="X865" s="3"/>
      <c r="Y865" s="3"/>
      <c r="Z865" s="3"/>
    </row>
    <row r="866" spans="1:26" ht="12.75">
      <c r="A866" s="3"/>
      <c r="D866" s="22"/>
      <c r="E866" s="22"/>
      <c r="F866" s="22"/>
      <c r="G866" s="22"/>
      <c r="H866" s="22"/>
      <c r="I866" s="22"/>
      <c r="J866" s="22"/>
      <c r="K866" s="22"/>
      <c r="L866" s="22"/>
      <c r="M866" s="22"/>
      <c r="O866" s="3"/>
      <c r="V866" s="3"/>
      <c r="W866" s="3"/>
      <c r="X866" s="3"/>
      <c r="Y866" s="3"/>
      <c r="Z866" s="3"/>
    </row>
    <row r="867" spans="1:26" ht="12.75">
      <c r="A867" s="3"/>
      <c r="D867" s="22"/>
      <c r="E867" s="22"/>
      <c r="F867" s="22"/>
      <c r="G867" s="22"/>
      <c r="H867" s="22"/>
      <c r="I867" s="22"/>
      <c r="J867" s="22"/>
      <c r="K867" s="22"/>
      <c r="L867" s="22"/>
      <c r="M867" s="22"/>
      <c r="O867" s="3"/>
      <c r="V867" s="3"/>
      <c r="W867" s="3"/>
      <c r="X867" s="3"/>
      <c r="Y867" s="3"/>
      <c r="Z867" s="3"/>
    </row>
    <row r="868" spans="1:26" ht="12.75">
      <c r="A868" s="3"/>
      <c r="D868" s="22"/>
      <c r="E868" s="22"/>
      <c r="F868" s="22"/>
      <c r="G868" s="22"/>
      <c r="H868" s="22"/>
      <c r="I868" s="22"/>
      <c r="J868" s="22"/>
      <c r="K868" s="22"/>
      <c r="L868" s="22"/>
      <c r="M868" s="22"/>
      <c r="O868" s="3"/>
      <c r="V868" s="3"/>
      <c r="W868" s="3"/>
      <c r="X868" s="3"/>
      <c r="Y868" s="3"/>
      <c r="Z868" s="3"/>
    </row>
    <row r="869" spans="1:26" ht="12.75">
      <c r="A869" s="3"/>
      <c r="D869" s="22"/>
      <c r="E869" s="22"/>
      <c r="F869" s="22"/>
      <c r="G869" s="22"/>
      <c r="H869" s="22"/>
      <c r="I869" s="22"/>
      <c r="J869" s="22"/>
      <c r="K869" s="22"/>
      <c r="L869" s="22"/>
      <c r="M869" s="22"/>
      <c r="O869" s="3"/>
      <c r="V869" s="3"/>
      <c r="W869" s="3"/>
      <c r="X869" s="3"/>
      <c r="Y869" s="3"/>
      <c r="Z869" s="3"/>
    </row>
    <row r="870" spans="1:26" ht="12.75">
      <c r="A870" s="3"/>
      <c r="D870" s="22"/>
      <c r="E870" s="22"/>
      <c r="F870" s="22"/>
      <c r="G870" s="22"/>
      <c r="H870" s="22"/>
      <c r="I870" s="22"/>
      <c r="J870" s="22"/>
      <c r="K870" s="22"/>
      <c r="L870" s="22"/>
      <c r="M870" s="22"/>
      <c r="O870" s="3"/>
      <c r="V870" s="3"/>
      <c r="W870" s="3"/>
      <c r="X870" s="3"/>
      <c r="Y870" s="3"/>
      <c r="Z870" s="3"/>
    </row>
    <row r="871" spans="1:26" ht="12.75">
      <c r="A871" s="3"/>
      <c r="D871" s="22"/>
      <c r="E871" s="22"/>
      <c r="F871" s="22"/>
      <c r="G871" s="22"/>
      <c r="H871" s="22"/>
      <c r="I871" s="22"/>
      <c r="J871" s="22"/>
      <c r="K871" s="22"/>
      <c r="L871" s="22"/>
      <c r="M871" s="22"/>
      <c r="O871" s="3"/>
      <c r="V871" s="3"/>
      <c r="W871" s="3"/>
      <c r="X871" s="3"/>
      <c r="Y871" s="3"/>
      <c r="Z871" s="3"/>
    </row>
    <row r="872" spans="1:26" ht="12.75">
      <c r="A872" s="3"/>
      <c r="D872" s="22"/>
      <c r="E872" s="22"/>
      <c r="F872" s="22"/>
      <c r="G872" s="22"/>
      <c r="H872" s="22"/>
      <c r="I872" s="22"/>
      <c r="J872" s="22"/>
      <c r="K872" s="22"/>
      <c r="L872" s="22"/>
      <c r="M872" s="22"/>
      <c r="O872" s="3"/>
      <c r="V872" s="3"/>
      <c r="W872" s="3"/>
      <c r="X872" s="3"/>
      <c r="Y872" s="3"/>
      <c r="Z872" s="3"/>
    </row>
    <row r="873" spans="1:26" ht="12.75">
      <c r="A873" s="3"/>
      <c r="D873" s="22"/>
      <c r="E873" s="22"/>
      <c r="F873" s="22"/>
      <c r="G873" s="22"/>
      <c r="H873" s="22"/>
      <c r="I873" s="22"/>
      <c r="J873" s="22"/>
      <c r="K873" s="22"/>
      <c r="L873" s="22"/>
      <c r="M873" s="22"/>
      <c r="O873" s="3"/>
      <c r="V873" s="3"/>
      <c r="W873" s="3"/>
      <c r="X873" s="3"/>
      <c r="Y873" s="3"/>
      <c r="Z873" s="3"/>
    </row>
    <row r="874" spans="1:26" ht="12.75">
      <c r="A874" s="3"/>
      <c r="D874" s="22"/>
      <c r="E874" s="22"/>
      <c r="F874" s="22"/>
      <c r="G874" s="22"/>
      <c r="H874" s="22"/>
      <c r="I874" s="22"/>
      <c r="J874" s="22"/>
      <c r="K874" s="22"/>
      <c r="L874" s="22"/>
      <c r="M874" s="22"/>
      <c r="O874" s="3"/>
      <c r="V874" s="3"/>
      <c r="W874" s="3"/>
      <c r="X874" s="3"/>
      <c r="Y874" s="3"/>
      <c r="Z874" s="3"/>
    </row>
    <row r="875" spans="1:26" ht="12.75">
      <c r="A875" s="3"/>
      <c r="D875" s="22"/>
      <c r="E875" s="22"/>
      <c r="F875" s="22"/>
      <c r="G875" s="22"/>
      <c r="H875" s="22"/>
      <c r="I875" s="22"/>
      <c r="J875" s="22"/>
      <c r="K875" s="22"/>
      <c r="L875" s="22"/>
      <c r="M875" s="22"/>
      <c r="O875" s="3"/>
      <c r="V875" s="3"/>
      <c r="W875" s="3"/>
      <c r="X875" s="3"/>
      <c r="Y875" s="3"/>
      <c r="Z875" s="3"/>
    </row>
    <row r="876" spans="1:26" ht="12.75">
      <c r="A876" s="3"/>
      <c r="D876" s="22"/>
      <c r="E876" s="22"/>
      <c r="F876" s="22"/>
      <c r="G876" s="22"/>
      <c r="H876" s="22"/>
      <c r="I876" s="22"/>
      <c r="J876" s="22"/>
      <c r="K876" s="22"/>
      <c r="L876" s="22"/>
      <c r="M876" s="22"/>
      <c r="O876" s="3"/>
      <c r="V876" s="3"/>
      <c r="W876" s="3"/>
      <c r="X876" s="3"/>
      <c r="Y876" s="3"/>
      <c r="Z876" s="3"/>
    </row>
    <row r="877" spans="1:26" ht="12.75">
      <c r="A877" s="3"/>
      <c r="D877" s="22"/>
      <c r="E877" s="22"/>
      <c r="F877" s="22"/>
      <c r="G877" s="22"/>
      <c r="H877" s="22"/>
      <c r="I877" s="22"/>
      <c r="J877" s="22"/>
      <c r="K877" s="22"/>
      <c r="L877" s="22"/>
      <c r="M877" s="22"/>
      <c r="O877" s="3"/>
      <c r="V877" s="3"/>
      <c r="W877" s="3"/>
      <c r="X877" s="3"/>
      <c r="Y877" s="3"/>
      <c r="Z877" s="3"/>
    </row>
    <row r="878" spans="1:26" ht="12.75">
      <c r="A878" s="3"/>
      <c r="D878" s="22"/>
      <c r="E878" s="22"/>
      <c r="F878" s="22"/>
      <c r="G878" s="22"/>
      <c r="H878" s="22"/>
      <c r="I878" s="22"/>
      <c r="J878" s="22"/>
      <c r="K878" s="22"/>
      <c r="L878" s="22"/>
      <c r="M878" s="22"/>
      <c r="O878" s="3"/>
      <c r="V878" s="3"/>
      <c r="W878" s="3"/>
      <c r="X878" s="3"/>
      <c r="Y878" s="3"/>
      <c r="Z878" s="3"/>
    </row>
    <row r="879" spans="1:26" ht="12.75">
      <c r="A879" s="3"/>
      <c r="D879" s="22"/>
      <c r="E879" s="22"/>
      <c r="F879" s="22"/>
      <c r="G879" s="22"/>
      <c r="H879" s="22"/>
      <c r="I879" s="22"/>
      <c r="J879" s="22"/>
      <c r="K879" s="22"/>
      <c r="L879" s="22"/>
      <c r="M879" s="22"/>
      <c r="O879" s="3"/>
      <c r="V879" s="3"/>
      <c r="W879" s="3"/>
      <c r="X879" s="3"/>
      <c r="Y879" s="3"/>
      <c r="Z879" s="3"/>
    </row>
    <row r="880" spans="1:26" ht="12.75">
      <c r="A880" s="3"/>
      <c r="D880" s="22"/>
      <c r="E880" s="22"/>
      <c r="F880" s="22"/>
      <c r="G880" s="22"/>
      <c r="H880" s="22"/>
      <c r="I880" s="22"/>
      <c r="J880" s="22"/>
      <c r="K880" s="22"/>
      <c r="L880" s="22"/>
      <c r="M880" s="22"/>
      <c r="O880" s="3"/>
      <c r="V880" s="3"/>
      <c r="W880" s="3"/>
      <c r="X880" s="3"/>
      <c r="Y880" s="3"/>
      <c r="Z880" s="3"/>
    </row>
    <row r="881" spans="1:26" ht="12.75">
      <c r="A881" s="3"/>
      <c r="D881" s="22"/>
      <c r="E881" s="22"/>
      <c r="F881" s="22"/>
      <c r="G881" s="22"/>
      <c r="H881" s="22"/>
      <c r="I881" s="22"/>
      <c r="J881" s="22"/>
      <c r="K881" s="22"/>
      <c r="L881" s="22"/>
      <c r="M881" s="22"/>
      <c r="O881" s="3"/>
      <c r="V881" s="3"/>
      <c r="W881" s="3"/>
      <c r="X881" s="3"/>
      <c r="Y881" s="3"/>
      <c r="Z881" s="3"/>
    </row>
    <row r="882" spans="1:26" ht="12.75">
      <c r="A882" s="3"/>
      <c r="D882" s="22"/>
      <c r="E882" s="22"/>
      <c r="F882" s="22"/>
      <c r="G882" s="22"/>
      <c r="H882" s="22"/>
      <c r="I882" s="22"/>
      <c r="J882" s="22"/>
      <c r="K882" s="22"/>
      <c r="L882" s="22"/>
      <c r="M882" s="22"/>
      <c r="O882" s="3"/>
      <c r="V882" s="3"/>
      <c r="W882" s="3"/>
      <c r="X882" s="3"/>
      <c r="Y882" s="3"/>
      <c r="Z882" s="3"/>
    </row>
    <row r="883" spans="1:26" ht="12.75">
      <c r="A883" s="3"/>
      <c r="D883" s="22"/>
      <c r="E883" s="22"/>
      <c r="F883" s="22"/>
      <c r="G883" s="22"/>
      <c r="H883" s="22"/>
      <c r="I883" s="22"/>
      <c r="J883" s="22"/>
      <c r="K883" s="22"/>
      <c r="L883" s="22"/>
      <c r="M883" s="22"/>
      <c r="O883" s="3"/>
      <c r="V883" s="3"/>
      <c r="W883" s="3"/>
      <c r="X883" s="3"/>
      <c r="Y883" s="3"/>
      <c r="Z883" s="3"/>
    </row>
    <row r="884" spans="1:26" ht="12.75">
      <c r="A884" s="3"/>
      <c r="D884" s="22"/>
      <c r="E884" s="22"/>
      <c r="F884" s="22"/>
      <c r="G884" s="22"/>
      <c r="H884" s="22"/>
      <c r="I884" s="22"/>
      <c r="J884" s="22"/>
      <c r="K884" s="22"/>
      <c r="L884" s="22"/>
      <c r="M884" s="22"/>
      <c r="O884" s="3"/>
      <c r="V884" s="3"/>
      <c r="W884" s="3"/>
      <c r="X884" s="3"/>
      <c r="Y884" s="3"/>
      <c r="Z884" s="3"/>
    </row>
    <row r="885" spans="1:26" ht="12.75">
      <c r="A885" s="3"/>
      <c r="D885" s="22"/>
      <c r="E885" s="22"/>
      <c r="F885" s="22"/>
      <c r="G885" s="22"/>
      <c r="H885" s="22"/>
      <c r="I885" s="22"/>
      <c r="J885" s="22"/>
      <c r="K885" s="22"/>
      <c r="L885" s="22"/>
      <c r="M885" s="22"/>
      <c r="O885" s="3"/>
      <c r="V885" s="3"/>
      <c r="W885" s="3"/>
      <c r="X885" s="3"/>
      <c r="Y885" s="3"/>
      <c r="Z885" s="3"/>
    </row>
    <row r="886" spans="1:26" ht="12.75">
      <c r="A886" s="3"/>
      <c r="D886" s="22"/>
      <c r="E886" s="22"/>
      <c r="F886" s="22"/>
      <c r="G886" s="22"/>
      <c r="H886" s="22"/>
      <c r="I886" s="22"/>
      <c r="J886" s="22"/>
      <c r="K886" s="22"/>
      <c r="L886" s="22"/>
      <c r="M886" s="22"/>
      <c r="O886" s="3"/>
      <c r="V886" s="3"/>
      <c r="W886" s="3"/>
      <c r="X886" s="3"/>
      <c r="Y886" s="3"/>
      <c r="Z886" s="3"/>
    </row>
    <row r="887" spans="1:26" ht="12.75">
      <c r="A887" s="3"/>
      <c r="D887" s="22"/>
      <c r="E887" s="22"/>
      <c r="F887" s="22"/>
      <c r="G887" s="22"/>
      <c r="H887" s="22"/>
      <c r="I887" s="22"/>
      <c r="J887" s="22"/>
      <c r="K887" s="22"/>
      <c r="L887" s="22"/>
      <c r="M887" s="22"/>
      <c r="O887" s="3"/>
      <c r="V887" s="3"/>
      <c r="W887" s="3"/>
      <c r="X887" s="3"/>
      <c r="Y887" s="3"/>
      <c r="Z887" s="3"/>
    </row>
    <row r="888" spans="1:26" ht="12.75">
      <c r="A888" s="3"/>
      <c r="D888" s="22"/>
      <c r="E888" s="22"/>
      <c r="F888" s="22"/>
      <c r="G888" s="22"/>
      <c r="H888" s="22"/>
      <c r="I888" s="22"/>
      <c r="J888" s="22"/>
      <c r="K888" s="22"/>
      <c r="L888" s="22"/>
      <c r="M888" s="22"/>
      <c r="O888" s="3"/>
      <c r="V888" s="3"/>
      <c r="W888" s="3"/>
      <c r="X888" s="3"/>
      <c r="Y888" s="3"/>
      <c r="Z888" s="3"/>
    </row>
    <row r="889" spans="1:26" ht="12.75">
      <c r="A889" s="3"/>
      <c r="D889" s="22"/>
      <c r="E889" s="22"/>
      <c r="F889" s="22"/>
      <c r="G889" s="22"/>
      <c r="H889" s="22"/>
      <c r="I889" s="22"/>
      <c r="J889" s="22"/>
      <c r="K889" s="22"/>
      <c r="L889" s="22"/>
      <c r="M889" s="22"/>
      <c r="O889" s="3"/>
      <c r="V889" s="3"/>
      <c r="W889" s="3"/>
      <c r="X889" s="3"/>
      <c r="Y889" s="3"/>
      <c r="Z889" s="3"/>
    </row>
    <row r="890" spans="1:26" ht="12.75">
      <c r="A890" s="3"/>
      <c r="D890" s="22"/>
      <c r="E890" s="22"/>
      <c r="F890" s="22"/>
      <c r="G890" s="22"/>
      <c r="H890" s="22"/>
      <c r="I890" s="22"/>
      <c r="J890" s="22"/>
      <c r="K890" s="22"/>
      <c r="L890" s="22"/>
      <c r="M890" s="22"/>
      <c r="O890" s="3"/>
      <c r="V890" s="3"/>
      <c r="W890" s="3"/>
      <c r="X890" s="3"/>
      <c r="Y890" s="3"/>
      <c r="Z890" s="3"/>
    </row>
    <row r="891" spans="1:26" ht="12.75">
      <c r="A891" s="3"/>
      <c r="D891" s="22"/>
      <c r="E891" s="22"/>
      <c r="F891" s="22"/>
      <c r="G891" s="22"/>
      <c r="H891" s="22"/>
      <c r="I891" s="22"/>
      <c r="J891" s="22"/>
      <c r="K891" s="22"/>
      <c r="L891" s="22"/>
      <c r="M891" s="22"/>
      <c r="O891" s="3"/>
      <c r="V891" s="3"/>
      <c r="W891" s="3"/>
      <c r="X891" s="3"/>
      <c r="Y891" s="3"/>
      <c r="Z891" s="3"/>
    </row>
    <row r="892" spans="1:26" ht="12.75">
      <c r="A892" s="3"/>
      <c r="D892" s="22"/>
      <c r="E892" s="22"/>
      <c r="F892" s="22"/>
      <c r="G892" s="22"/>
      <c r="H892" s="22"/>
      <c r="I892" s="22"/>
      <c r="J892" s="22"/>
      <c r="K892" s="22"/>
      <c r="L892" s="22"/>
      <c r="M892" s="22"/>
      <c r="O892" s="3"/>
      <c r="V892" s="3"/>
      <c r="W892" s="3"/>
      <c r="X892" s="3"/>
      <c r="Y892" s="3"/>
      <c r="Z892" s="3"/>
    </row>
    <row r="893" spans="1:26" ht="12.75">
      <c r="A893" s="3"/>
      <c r="D893" s="22"/>
      <c r="E893" s="22"/>
      <c r="F893" s="22"/>
      <c r="G893" s="22"/>
      <c r="H893" s="22"/>
      <c r="I893" s="22"/>
      <c r="J893" s="22"/>
      <c r="K893" s="22"/>
      <c r="L893" s="22"/>
      <c r="M893" s="22"/>
      <c r="O893" s="3"/>
      <c r="V893" s="3"/>
      <c r="W893" s="3"/>
      <c r="X893" s="3"/>
      <c r="Y893" s="3"/>
      <c r="Z893" s="3"/>
    </row>
    <row r="894" spans="1:26" ht="12.75">
      <c r="A894" s="3"/>
      <c r="D894" s="22"/>
      <c r="E894" s="22"/>
      <c r="F894" s="22"/>
      <c r="G894" s="22"/>
      <c r="H894" s="22"/>
      <c r="I894" s="22"/>
      <c r="J894" s="22"/>
      <c r="K894" s="22"/>
      <c r="L894" s="22"/>
      <c r="M894" s="22"/>
      <c r="O894" s="3"/>
      <c r="V894" s="3"/>
      <c r="W894" s="3"/>
      <c r="X894" s="3"/>
      <c r="Y894" s="3"/>
      <c r="Z894" s="3"/>
    </row>
    <row r="895" spans="1:26" ht="12.75">
      <c r="A895" s="3"/>
      <c r="D895" s="22"/>
      <c r="E895" s="22"/>
      <c r="F895" s="22"/>
      <c r="G895" s="22"/>
      <c r="H895" s="22"/>
      <c r="I895" s="22"/>
      <c r="J895" s="22"/>
      <c r="K895" s="22"/>
      <c r="L895" s="22"/>
      <c r="M895" s="22"/>
      <c r="O895" s="3"/>
      <c r="V895" s="3"/>
      <c r="W895" s="3"/>
      <c r="X895" s="3"/>
      <c r="Y895" s="3"/>
      <c r="Z895" s="3"/>
    </row>
    <row r="896" spans="1:26" ht="12.75">
      <c r="A896" s="3"/>
      <c r="D896" s="22"/>
      <c r="E896" s="22"/>
      <c r="F896" s="22"/>
      <c r="G896" s="22"/>
      <c r="H896" s="22"/>
      <c r="I896" s="22"/>
      <c r="J896" s="22"/>
      <c r="K896" s="22"/>
      <c r="L896" s="22"/>
      <c r="M896" s="22"/>
      <c r="O896" s="3"/>
      <c r="V896" s="3"/>
      <c r="W896" s="3"/>
      <c r="X896" s="3"/>
      <c r="Y896" s="3"/>
      <c r="Z896" s="3"/>
    </row>
    <row r="897" spans="1:26" ht="12.75">
      <c r="A897" s="3"/>
      <c r="D897" s="22"/>
      <c r="E897" s="22"/>
      <c r="F897" s="22"/>
      <c r="G897" s="22"/>
      <c r="H897" s="22"/>
      <c r="I897" s="22"/>
      <c r="J897" s="22"/>
      <c r="K897" s="22"/>
      <c r="L897" s="22"/>
      <c r="M897" s="22"/>
      <c r="O897" s="3"/>
      <c r="V897" s="3"/>
      <c r="W897" s="3"/>
      <c r="X897" s="3"/>
      <c r="Y897" s="3"/>
      <c r="Z897" s="3"/>
    </row>
    <row r="898" spans="1:26" ht="12.75">
      <c r="A898" s="3"/>
      <c r="D898" s="22"/>
      <c r="E898" s="22"/>
      <c r="F898" s="22"/>
      <c r="G898" s="22"/>
      <c r="H898" s="22"/>
      <c r="I898" s="22"/>
      <c r="J898" s="22"/>
      <c r="K898" s="22"/>
      <c r="L898" s="22"/>
      <c r="M898" s="22"/>
      <c r="O898" s="3"/>
      <c r="V898" s="3"/>
      <c r="W898" s="3"/>
      <c r="X898" s="3"/>
      <c r="Y898" s="3"/>
      <c r="Z898" s="3"/>
    </row>
    <row r="899" spans="1:26" ht="12.75">
      <c r="A899" s="3"/>
      <c r="D899" s="22"/>
      <c r="E899" s="22"/>
      <c r="F899" s="22"/>
      <c r="G899" s="22"/>
      <c r="H899" s="22"/>
      <c r="I899" s="22"/>
      <c r="J899" s="22"/>
      <c r="K899" s="22"/>
      <c r="L899" s="22"/>
      <c r="M899" s="22"/>
      <c r="O899" s="3"/>
      <c r="V899" s="3"/>
      <c r="W899" s="3"/>
      <c r="X899" s="3"/>
      <c r="Y899" s="3"/>
      <c r="Z899" s="3"/>
    </row>
    <row r="900" spans="1:26" ht="12.75">
      <c r="A900" s="3"/>
      <c r="D900" s="22"/>
      <c r="E900" s="22"/>
      <c r="F900" s="22"/>
      <c r="G900" s="22"/>
      <c r="H900" s="22"/>
      <c r="I900" s="22"/>
      <c r="J900" s="22"/>
      <c r="K900" s="22"/>
      <c r="L900" s="22"/>
      <c r="M900" s="22"/>
      <c r="O900" s="3"/>
      <c r="V900" s="3"/>
      <c r="W900" s="3"/>
      <c r="X900" s="3"/>
      <c r="Y900" s="3"/>
      <c r="Z900" s="3"/>
    </row>
    <row r="901" spans="1:26" ht="12.75">
      <c r="A901" s="3"/>
      <c r="D901" s="22"/>
      <c r="E901" s="22"/>
      <c r="F901" s="22"/>
      <c r="G901" s="22"/>
      <c r="H901" s="22"/>
      <c r="I901" s="22"/>
      <c r="J901" s="22"/>
      <c r="K901" s="22"/>
      <c r="L901" s="22"/>
      <c r="M901" s="22"/>
      <c r="O901" s="3"/>
      <c r="V901" s="3"/>
      <c r="W901" s="3"/>
      <c r="X901" s="3"/>
      <c r="Y901" s="3"/>
      <c r="Z901" s="3"/>
    </row>
    <row r="902" spans="1:26" ht="12.75">
      <c r="A902" s="3"/>
      <c r="D902" s="22"/>
      <c r="E902" s="22"/>
      <c r="F902" s="22"/>
      <c r="G902" s="22"/>
      <c r="H902" s="22"/>
      <c r="I902" s="22"/>
      <c r="J902" s="22"/>
      <c r="K902" s="22"/>
      <c r="L902" s="22"/>
      <c r="M902" s="22"/>
      <c r="O902" s="3"/>
      <c r="V902" s="3"/>
      <c r="W902" s="3"/>
      <c r="X902" s="3"/>
      <c r="Y902" s="3"/>
      <c r="Z902" s="3"/>
    </row>
    <row r="903" spans="1:26" ht="12.75">
      <c r="A903" s="3"/>
      <c r="D903" s="22"/>
      <c r="E903" s="22"/>
      <c r="F903" s="22"/>
      <c r="G903" s="22"/>
      <c r="H903" s="22"/>
      <c r="I903" s="22"/>
      <c r="J903" s="22"/>
      <c r="K903" s="22"/>
      <c r="L903" s="22"/>
      <c r="M903" s="22"/>
      <c r="O903" s="3"/>
      <c r="V903" s="3"/>
      <c r="W903" s="3"/>
      <c r="X903" s="3"/>
      <c r="Y903" s="3"/>
      <c r="Z903" s="3"/>
    </row>
    <row r="904" spans="1:26" ht="12.75">
      <c r="A904" s="3"/>
      <c r="D904" s="22"/>
      <c r="E904" s="22"/>
      <c r="F904" s="22"/>
      <c r="G904" s="22"/>
      <c r="H904" s="22"/>
      <c r="I904" s="22"/>
      <c r="J904" s="22"/>
      <c r="K904" s="22"/>
      <c r="L904" s="22"/>
      <c r="M904" s="22"/>
      <c r="O904" s="3"/>
      <c r="V904" s="3"/>
      <c r="W904" s="3"/>
      <c r="X904" s="3"/>
      <c r="Y904" s="3"/>
      <c r="Z904" s="3"/>
    </row>
    <row r="905" spans="1:26" ht="12.75">
      <c r="A905" s="3"/>
      <c r="D905" s="22"/>
      <c r="E905" s="22"/>
      <c r="F905" s="22"/>
      <c r="G905" s="22"/>
      <c r="H905" s="22"/>
      <c r="I905" s="22"/>
      <c r="J905" s="22"/>
      <c r="K905" s="22"/>
      <c r="L905" s="22"/>
      <c r="M905" s="22"/>
      <c r="O905" s="3"/>
      <c r="V905" s="3"/>
      <c r="W905" s="3"/>
      <c r="X905" s="3"/>
      <c r="Y905" s="3"/>
      <c r="Z905" s="3"/>
    </row>
    <row r="906" spans="1:26" ht="12.75">
      <c r="A906" s="3"/>
      <c r="D906" s="22"/>
      <c r="E906" s="22"/>
      <c r="F906" s="22"/>
      <c r="G906" s="22"/>
      <c r="H906" s="22"/>
      <c r="I906" s="22"/>
      <c r="J906" s="22"/>
      <c r="K906" s="22"/>
      <c r="L906" s="22"/>
      <c r="M906" s="22"/>
      <c r="O906" s="3"/>
      <c r="V906" s="3"/>
      <c r="W906" s="3"/>
      <c r="X906" s="3"/>
      <c r="Y906" s="3"/>
      <c r="Z906" s="3"/>
    </row>
    <row r="907" spans="1:26" ht="12.75">
      <c r="A907" s="3"/>
      <c r="D907" s="22"/>
      <c r="E907" s="22"/>
      <c r="F907" s="22"/>
      <c r="G907" s="22"/>
      <c r="H907" s="22"/>
      <c r="I907" s="22"/>
      <c r="J907" s="22"/>
      <c r="K907" s="22"/>
      <c r="L907" s="22"/>
      <c r="M907" s="22"/>
      <c r="O907" s="3"/>
      <c r="V907" s="3"/>
      <c r="W907" s="3"/>
      <c r="X907" s="3"/>
      <c r="Y907" s="3"/>
      <c r="Z907" s="3"/>
    </row>
    <row r="908" spans="1:26" ht="12.75">
      <c r="A908" s="3"/>
      <c r="D908" s="22"/>
      <c r="E908" s="22"/>
      <c r="F908" s="22"/>
      <c r="G908" s="22"/>
      <c r="H908" s="22"/>
      <c r="I908" s="22"/>
      <c r="J908" s="22"/>
      <c r="K908" s="22"/>
      <c r="L908" s="22"/>
      <c r="M908" s="22"/>
      <c r="O908" s="3"/>
      <c r="V908" s="3"/>
      <c r="W908" s="3"/>
      <c r="X908" s="3"/>
      <c r="Y908" s="3"/>
      <c r="Z908" s="3"/>
    </row>
    <row r="909" spans="1:26" ht="12.75">
      <c r="A909" s="3"/>
      <c r="D909" s="22"/>
      <c r="E909" s="22"/>
      <c r="F909" s="22"/>
      <c r="G909" s="22"/>
      <c r="H909" s="22"/>
      <c r="I909" s="22"/>
      <c r="J909" s="22"/>
      <c r="K909" s="22"/>
      <c r="L909" s="22"/>
      <c r="M909" s="22"/>
      <c r="O909" s="3"/>
      <c r="V909" s="3"/>
      <c r="W909" s="3"/>
      <c r="X909" s="3"/>
      <c r="Y909" s="3"/>
      <c r="Z909" s="3"/>
    </row>
    <row r="910" spans="1:26" ht="12.75">
      <c r="A910" s="3"/>
      <c r="D910" s="22"/>
      <c r="E910" s="22"/>
      <c r="F910" s="22"/>
      <c r="G910" s="22"/>
      <c r="H910" s="22"/>
      <c r="I910" s="22"/>
      <c r="J910" s="22"/>
      <c r="K910" s="22"/>
      <c r="L910" s="22"/>
      <c r="M910" s="22"/>
      <c r="O910" s="3"/>
      <c r="V910" s="3"/>
      <c r="W910" s="3"/>
      <c r="X910" s="3"/>
      <c r="Y910" s="3"/>
      <c r="Z910" s="3"/>
    </row>
    <row r="911" spans="1:26" ht="12.75">
      <c r="A911" s="3"/>
      <c r="D911" s="22"/>
      <c r="E911" s="22"/>
      <c r="F911" s="22"/>
      <c r="G911" s="22"/>
      <c r="H911" s="22"/>
      <c r="I911" s="22"/>
      <c r="J911" s="22"/>
      <c r="K911" s="22"/>
      <c r="L911" s="22"/>
      <c r="M911" s="22"/>
      <c r="O911" s="3"/>
      <c r="V911" s="3"/>
      <c r="W911" s="3"/>
      <c r="X911" s="3"/>
      <c r="Y911" s="3"/>
      <c r="Z911" s="3"/>
    </row>
    <row r="912" spans="1:26" ht="12.75">
      <c r="A912" s="3"/>
      <c r="D912" s="22"/>
      <c r="E912" s="22"/>
      <c r="F912" s="22"/>
      <c r="G912" s="22"/>
      <c r="H912" s="22"/>
      <c r="I912" s="22"/>
      <c r="J912" s="22"/>
      <c r="K912" s="22"/>
      <c r="L912" s="22"/>
      <c r="M912" s="22"/>
      <c r="O912" s="3"/>
      <c r="V912" s="3"/>
      <c r="W912" s="3"/>
      <c r="X912" s="3"/>
      <c r="Y912" s="3"/>
      <c r="Z912" s="3"/>
    </row>
    <row r="913" spans="1:26" ht="12.75">
      <c r="A913" s="3"/>
      <c r="D913" s="22"/>
      <c r="E913" s="22"/>
      <c r="F913" s="22"/>
      <c r="G913" s="22"/>
      <c r="H913" s="22"/>
      <c r="I913" s="22"/>
      <c r="J913" s="22"/>
      <c r="K913" s="22"/>
      <c r="L913" s="22"/>
      <c r="M913" s="22"/>
      <c r="O913" s="3"/>
      <c r="V913" s="3"/>
      <c r="W913" s="3"/>
      <c r="X913" s="3"/>
      <c r="Y913" s="3"/>
      <c r="Z913" s="3"/>
    </row>
    <row r="914" spans="1:26" ht="12.75">
      <c r="A914" s="3"/>
      <c r="D914" s="22"/>
      <c r="E914" s="22"/>
      <c r="F914" s="22"/>
      <c r="G914" s="22"/>
      <c r="H914" s="22"/>
      <c r="I914" s="22"/>
      <c r="J914" s="22"/>
      <c r="K914" s="22"/>
      <c r="L914" s="22"/>
      <c r="M914" s="22"/>
      <c r="O914" s="3"/>
      <c r="V914" s="3"/>
      <c r="W914" s="3"/>
      <c r="X914" s="3"/>
      <c r="Y914" s="3"/>
      <c r="Z914" s="3"/>
    </row>
  </sheetData>
  <mergeCells count="4">
    <mergeCell ref="A1:A2"/>
    <mergeCell ref="B1:B2"/>
    <mergeCell ref="C1:C2"/>
    <mergeCell ref="D1:M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STYLE-Complete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Amir Salar Mohammadi</dc:creator>
  <cp:lastModifiedBy>Meysam Sherbaf</cp:lastModifiedBy>
  <dcterms:created xsi:type="dcterms:W3CDTF">2024-12-10T20:18:17Z</dcterms:created>
  <dcterms:modified xsi:type="dcterms:W3CDTF">2025-11-29T08:45:23Z</dcterms:modified>
</cp:coreProperties>
</file>